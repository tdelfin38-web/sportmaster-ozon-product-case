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apered/Desktop/"/>
    </mc:Choice>
  </mc:AlternateContent>
  <xr:revisionPtr revIDLastSave="0" documentId="8_{86262C74-2857-2D42-9E12-5B231A6C8C45}" xr6:coauthVersionLast="47" xr6:coauthVersionMax="47" xr10:uidLastSave="{00000000-0000-0000-0000-000000000000}"/>
  <bookViews>
    <workbookView xWindow="0" yWindow="680" windowWidth="29400" windowHeight="17480" xr2:uid="{00000000-000D-0000-FFFF-FFFF00000000}"/>
  </bookViews>
  <sheets>
    <sheet name="Итоги" sheetId="1" r:id="rId1"/>
    <sheet name="Модель" sheetId="2" r:id="rId2"/>
    <sheet name="Fulllog 3PL" sheetId="3" r:id="rId3"/>
    <sheet name="Инструкция" sheetId="4" r:id="rId4"/>
    <sheet name="SKU" sheetId="5" r:id="rId5"/>
    <sheet name="Тарифы" sheetId="6" r:id="rId6"/>
    <sheet name="Затраты продавца" sheetId="7" r:id="rId7"/>
    <sheet name="Допущения" sheetId="8" r:id="rId8"/>
    <sheet name="Сценарный анализ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N16" i="9"/>
  <c r="J16" i="9"/>
  <c r="F16" i="9"/>
  <c r="B16" i="9"/>
  <c r="N15" i="9"/>
  <c r="B15" i="9"/>
  <c r="B13" i="9"/>
  <c r="I41" i="5"/>
  <c r="F64" i="3" s="1"/>
  <c r="I40" i="5"/>
  <c r="F63" i="3" s="1"/>
  <c r="I39" i="5"/>
  <c r="F62" i="3" s="1"/>
  <c r="I38" i="5"/>
  <c r="F61" i="3" s="1"/>
  <c r="I37" i="5"/>
  <c r="F60" i="3" s="1"/>
  <c r="I36" i="5"/>
  <c r="F59" i="3" s="1"/>
  <c r="I35" i="5"/>
  <c r="F58" i="3" s="1"/>
  <c r="I34" i="5"/>
  <c r="F57" i="3" s="1"/>
  <c r="I33" i="5"/>
  <c r="J36" i="2" s="1"/>
  <c r="I32" i="5"/>
  <c r="J35" i="2" s="1"/>
  <c r="I31" i="5"/>
  <c r="F54" i="3" s="1"/>
  <c r="I30" i="5"/>
  <c r="F53" i="3" s="1"/>
  <c r="I29" i="5"/>
  <c r="F52" i="3" s="1"/>
  <c r="I28" i="5"/>
  <c r="F51" i="3" s="1"/>
  <c r="I27" i="5"/>
  <c r="F50" i="3" s="1"/>
  <c r="I26" i="5"/>
  <c r="F49" i="3" s="1"/>
  <c r="I25" i="5"/>
  <c r="J28" i="2" s="1"/>
  <c r="I24" i="5"/>
  <c r="I23" i="5"/>
  <c r="F46" i="3" s="1"/>
  <c r="I22" i="5"/>
  <c r="F45" i="3" s="1"/>
  <c r="I21" i="5"/>
  <c r="F44" i="3" s="1"/>
  <c r="I20" i="5"/>
  <c r="F43" i="3" s="1"/>
  <c r="I19" i="5"/>
  <c r="F42" i="3" s="1"/>
  <c r="I18" i="5"/>
  <c r="F41" i="3" s="1"/>
  <c r="I17" i="5"/>
  <c r="F40" i="3" s="1"/>
  <c r="I16" i="5"/>
  <c r="F39" i="3" s="1"/>
  <c r="I15" i="5"/>
  <c r="J18" i="2" s="1"/>
  <c r="I14" i="5"/>
  <c r="F37" i="3" s="1"/>
  <c r="I13" i="5"/>
  <c r="F36" i="3" s="1"/>
  <c r="I12" i="5"/>
  <c r="F35" i="3" s="1"/>
  <c r="I11" i="5"/>
  <c r="F34" i="3" s="1"/>
  <c r="I10" i="5"/>
  <c r="F33" i="3" s="1"/>
  <c r="I9" i="5"/>
  <c r="F32" i="3" s="1"/>
  <c r="I8" i="5"/>
  <c r="F31" i="3" s="1"/>
  <c r="I7" i="5"/>
  <c r="J10" i="2" s="1"/>
  <c r="I6" i="5"/>
  <c r="F29" i="3" s="1"/>
  <c r="I5" i="5"/>
  <c r="F28" i="3" s="1"/>
  <c r="I4" i="5"/>
  <c r="F27" i="3" s="1"/>
  <c r="I3" i="5"/>
  <c r="F26" i="3" s="1"/>
  <c r="I2" i="5"/>
  <c r="F25" i="3" s="1"/>
  <c r="B16" i="4"/>
  <c r="E64" i="3"/>
  <c r="C64" i="3"/>
  <c r="B64" i="3"/>
  <c r="E63" i="3"/>
  <c r="C63" i="3"/>
  <c r="B63" i="3"/>
  <c r="E62" i="3"/>
  <c r="C62" i="3"/>
  <c r="B62" i="3"/>
  <c r="E61" i="3"/>
  <c r="C61" i="3"/>
  <c r="B61" i="3"/>
  <c r="E60" i="3"/>
  <c r="C60" i="3"/>
  <c r="B60" i="3"/>
  <c r="E59" i="3"/>
  <c r="C59" i="3"/>
  <c r="B59" i="3"/>
  <c r="E58" i="3"/>
  <c r="C58" i="3"/>
  <c r="B58" i="3"/>
  <c r="E57" i="3"/>
  <c r="C57" i="3"/>
  <c r="B57" i="3"/>
  <c r="E56" i="3"/>
  <c r="C56" i="3"/>
  <c r="B56" i="3"/>
  <c r="F55" i="3"/>
  <c r="E55" i="3"/>
  <c r="C55" i="3"/>
  <c r="B55" i="3"/>
  <c r="E54" i="3"/>
  <c r="C54" i="3"/>
  <c r="B54" i="3"/>
  <c r="E53" i="3"/>
  <c r="C53" i="3"/>
  <c r="B53" i="3"/>
  <c r="E52" i="3"/>
  <c r="C52" i="3"/>
  <c r="B52" i="3"/>
  <c r="E51" i="3"/>
  <c r="C51" i="3"/>
  <c r="B51" i="3"/>
  <c r="E50" i="3"/>
  <c r="C50" i="3"/>
  <c r="B50" i="3"/>
  <c r="E49" i="3"/>
  <c r="C49" i="3"/>
  <c r="B49" i="3"/>
  <c r="E48" i="3"/>
  <c r="C48" i="3"/>
  <c r="B48" i="3"/>
  <c r="F47" i="3"/>
  <c r="E47" i="3"/>
  <c r="C47" i="3"/>
  <c r="B47" i="3"/>
  <c r="E46" i="3"/>
  <c r="C46" i="3"/>
  <c r="B46" i="3"/>
  <c r="E45" i="3"/>
  <c r="C45" i="3"/>
  <c r="B45" i="3"/>
  <c r="E44" i="3"/>
  <c r="C44" i="3"/>
  <c r="B44" i="3"/>
  <c r="E43" i="3"/>
  <c r="C43" i="3"/>
  <c r="B43" i="3"/>
  <c r="E42" i="3"/>
  <c r="C42" i="3"/>
  <c r="B42" i="3"/>
  <c r="E41" i="3"/>
  <c r="C41" i="3"/>
  <c r="B41" i="3"/>
  <c r="E40" i="3"/>
  <c r="C40" i="3"/>
  <c r="B40" i="3"/>
  <c r="E39" i="3"/>
  <c r="C39" i="3"/>
  <c r="B39" i="3"/>
  <c r="E38" i="3"/>
  <c r="C38" i="3"/>
  <c r="B38" i="3"/>
  <c r="E37" i="3"/>
  <c r="C37" i="3"/>
  <c r="B37" i="3"/>
  <c r="E36" i="3"/>
  <c r="C36" i="3"/>
  <c r="B36" i="3"/>
  <c r="E35" i="3"/>
  <c r="C35" i="3"/>
  <c r="B35" i="3"/>
  <c r="E34" i="3"/>
  <c r="C34" i="3"/>
  <c r="B34" i="3"/>
  <c r="E33" i="3"/>
  <c r="C33" i="3"/>
  <c r="B33" i="3"/>
  <c r="E32" i="3"/>
  <c r="C32" i="3"/>
  <c r="B32" i="3"/>
  <c r="E31" i="3"/>
  <c r="C31" i="3"/>
  <c r="B31" i="3"/>
  <c r="E30" i="3"/>
  <c r="C30" i="3"/>
  <c r="B30" i="3"/>
  <c r="E29" i="3"/>
  <c r="C29" i="3"/>
  <c r="B29" i="3"/>
  <c r="E28" i="3"/>
  <c r="C28" i="3"/>
  <c r="B28" i="3"/>
  <c r="E27" i="3"/>
  <c r="C27" i="3"/>
  <c r="B27" i="3"/>
  <c r="E26" i="3"/>
  <c r="C26" i="3"/>
  <c r="B26" i="3"/>
  <c r="E25" i="3"/>
  <c r="C25" i="3"/>
  <c r="B25" i="3"/>
  <c r="I21" i="3"/>
  <c r="I20" i="3"/>
  <c r="I19" i="3"/>
  <c r="I18" i="3"/>
  <c r="I17" i="3"/>
  <c r="I16" i="3"/>
  <c r="I12" i="3"/>
  <c r="I11" i="3"/>
  <c r="I10" i="3"/>
  <c r="I9" i="3"/>
  <c r="I8" i="3"/>
  <c r="I7" i="3"/>
  <c r="I6" i="3"/>
  <c r="E68" i="2"/>
  <c r="E67" i="2"/>
  <c r="E66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3" i="2"/>
  <c r="C53" i="2"/>
  <c r="L30" i="2" s="1"/>
  <c r="I50" i="3" s="1"/>
  <c r="E52" i="2"/>
  <c r="L44" i="2"/>
  <c r="I64" i="3" s="1"/>
  <c r="K44" i="2"/>
  <c r="I44" i="2"/>
  <c r="H44" i="2"/>
  <c r="G44" i="2"/>
  <c r="F44" i="2"/>
  <c r="E44" i="2"/>
  <c r="D44" i="2"/>
  <c r="C44" i="2"/>
  <c r="B44" i="2"/>
  <c r="L43" i="2"/>
  <c r="I63" i="3" s="1"/>
  <c r="K43" i="2"/>
  <c r="I43" i="2"/>
  <c r="H43" i="2"/>
  <c r="G43" i="2"/>
  <c r="F43" i="2"/>
  <c r="E43" i="2"/>
  <c r="D43" i="2"/>
  <c r="C43" i="2"/>
  <c r="B43" i="2"/>
  <c r="L42" i="2"/>
  <c r="I62" i="3" s="1"/>
  <c r="K42" i="2"/>
  <c r="I42" i="2"/>
  <c r="H42" i="2"/>
  <c r="G42" i="2"/>
  <c r="F42" i="2"/>
  <c r="E42" i="2"/>
  <c r="D42" i="2"/>
  <c r="C42" i="2"/>
  <c r="B42" i="2"/>
  <c r="L41" i="2"/>
  <c r="I61" i="3" s="1"/>
  <c r="K41" i="2"/>
  <c r="I41" i="2"/>
  <c r="H41" i="2"/>
  <c r="G41" i="2"/>
  <c r="F41" i="2"/>
  <c r="E41" i="2"/>
  <c r="D41" i="2"/>
  <c r="C41" i="2"/>
  <c r="B41" i="2"/>
  <c r="L40" i="2"/>
  <c r="I60" i="3" s="1"/>
  <c r="K40" i="2"/>
  <c r="J40" i="2"/>
  <c r="I40" i="2"/>
  <c r="H40" i="2"/>
  <c r="G40" i="2"/>
  <c r="F40" i="2"/>
  <c r="E40" i="2"/>
  <c r="D40" i="2"/>
  <c r="C40" i="2"/>
  <c r="B40" i="2"/>
  <c r="L39" i="2"/>
  <c r="I59" i="3" s="1"/>
  <c r="K39" i="2"/>
  <c r="I39" i="2"/>
  <c r="H39" i="2"/>
  <c r="G39" i="2"/>
  <c r="F39" i="2"/>
  <c r="E39" i="2"/>
  <c r="D39" i="2"/>
  <c r="C39" i="2"/>
  <c r="B39" i="2"/>
  <c r="L38" i="2"/>
  <c r="I58" i="3" s="1"/>
  <c r="K38" i="2"/>
  <c r="I38" i="2"/>
  <c r="H38" i="2"/>
  <c r="G38" i="2"/>
  <c r="F38" i="2"/>
  <c r="E38" i="2"/>
  <c r="D38" i="2"/>
  <c r="C38" i="2"/>
  <c r="B38" i="2"/>
  <c r="L37" i="2"/>
  <c r="I57" i="3" s="1"/>
  <c r="K37" i="2"/>
  <c r="I37" i="2"/>
  <c r="H37" i="2"/>
  <c r="G37" i="2"/>
  <c r="F37" i="2"/>
  <c r="E37" i="2"/>
  <c r="D37" i="2"/>
  <c r="C37" i="2"/>
  <c r="B37" i="2"/>
  <c r="K36" i="2"/>
  <c r="I36" i="2"/>
  <c r="H36" i="2"/>
  <c r="G36" i="2"/>
  <c r="F36" i="2"/>
  <c r="E36" i="2"/>
  <c r="D36" i="2"/>
  <c r="C36" i="2"/>
  <c r="B36" i="2"/>
  <c r="K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I33" i="2"/>
  <c r="H33" i="2"/>
  <c r="G33" i="2"/>
  <c r="F33" i="2"/>
  <c r="E33" i="2"/>
  <c r="D33" i="2"/>
  <c r="C33" i="2"/>
  <c r="B33" i="2"/>
  <c r="K32" i="2"/>
  <c r="I32" i="2"/>
  <c r="H32" i="2"/>
  <c r="G32" i="2"/>
  <c r="F32" i="2"/>
  <c r="E32" i="2"/>
  <c r="D32" i="2"/>
  <c r="C32" i="2"/>
  <c r="B32" i="2"/>
  <c r="K31" i="2"/>
  <c r="I31" i="2"/>
  <c r="H31" i="2"/>
  <c r="G31" i="2"/>
  <c r="F31" i="2"/>
  <c r="E31" i="2"/>
  <c r="D31" i="2"/>
  <c r="C31" i="2"/>
  <c r="B31" i="2"/>
  <c r="K30" i="2"/>
  <c r="I30" i="2"/>
  <c r="H30" i="2"/>
  <c r="G30" i="2"/>
  <c r="F30" i="2"/>
  <c r="E30" i="2"/>
  <c r="D30" i="2"/>
  <c r="C30" i="2"/>
  <c r="B30" i="2"/>
  <c r="L29" i="2"/>
  <c r="I49" i="3" s="1"/>
  <c r="K29" i="2"/>
  <c r="I29" i="2"/>
  <c r="H29" i="2"/>
  <c r="G29" i="2"/>
  <c r="F29" i="2"/>
  <c r="E29" i="2"/>
  <c r="D29" i="2"/>
  <c r="C29" i="2"/>
  <c r="B29" i="2"/>
  <c r="K28" i="2"/>
  <c r="I28" i="2"/>
  <c r="H28" i="2"/>
  <c r="G28" i="2"/>
  <c r="F28" i="2"/>
  <c r="E28" i="2"/>
  <c r="D28" i="2"/>
  <c r="C28" i="2"/>
  <c r="B28" i="2"/>
  <c r="K27" i="2"/>
  <c r="J27" i="2"/>
  <c r="I27" i="2"/>
  <c r="H27" i="2"/>
  <c r="G27" i="2"/>
  <c r="F27" i="2"/>
  <c r="E27" i="2"/>
  <c r="D27" i="2"/>
  <c r="C27" i="2"/>
  <c r="B27" i="2"/>
  <c r="K26" i="2"/>
  <c r="I26" i="2"/>
  <c r="H26" i="2"/>
  <c r="G26" i="2"/>
  <c r="F26" i="2"/>
  <c r="E26" i="2"/>
  <c r="D26" i="2"/>
  <c r="C26" i="2"/>
  <c r="B26" i="2"/>
  <c r="K25" i="2"/>
  <c r="I25" i="2"/>
  <c r="H25" i="2"/>
  <c r="G25" i="2"/>
  <c r="F25" i="2"/>
  <c r="E25" i="2"/>
  <c r="M25" i="2" s="1"/>
  <c r="D25" i="2"/>
  <c r="C25" i="2"/>
  <c r="B25" i="2"/>
  <c r="L24" i="2"/>
  <c r="I44" i="3" s="1"/>
  <c r="K24" i="2"/>
  <c r="I24" i="2"/>
  <c r="H24" i="2"/>
  <c r="G24" i="2"/>
  <c r="F24" i="2"/>
  <c r="E24" i="2"/>
  <c r="D24" i="2"/>
  <c r="C24" i="2"/>
  <c r="B24" i="2"/>
  <c r="L23" i="2"/>
  <c r="I43" i="3" s="1"/>
  <c r="K23" i="2"/>
  <c r="I23" i="2"/>
  <c r="H23" i="2"/>
  <c r="G23" i="2"/>
  <c r="F23" i="2"/>
  <c r="E23" i="2"/>
  <c r="D23" i="2"/>
  <c r="C23" i="2"/>
  <c r="B23" i="2"/>
  <c r="L22" i="2"/>
  <c r="I42" i="3" s="1"/>
  <c r="K22" i="2"/>
  <c r="I22" i="2"/>
  <c r="H22" i="2"/>
  <c r="G22" i="2"/>
  <c r="F22" i="2"/>
  <c r="E22" i="2"/>
  <c r="D22" i="2"/>
  <c r="C22" i="2"/>
  <c r="B22" i="2"/>
  <c r="L21" i="2"/>
  <c r="I41" i="3" s="1"/>
  <c r="K21" i="2"/>
  <c r="I21" i="2"/>
  <c r="H21" i="2"/>
  <c r="G21" i="2"/>
  <c r="F21" i="2"/>
  <c r="E21" i="2"/>
  <c r="D21" i="2"/>
  <c r="C21" i="2"/>
  <c r="B21" i="2"/>
  <c r="L20" i="2"/>
  <c r="I40" i="3" s="1"/>
  <c r="K20" i="2"/>
  <c r="J20" i="2"/>
  <c r="I20" i="2"/>
  <c r="H20" i="2"/>
  <c r="G20" i="2"/>
  <c r="F20" i="2"/>
  <c r="E20" i="2"/>
  <c r="D20" i="2"/>
  <c r="C20" i="2"/>
  <c r="B20" i="2"/>
  <c r="L19" i="2"/>
  <c r="I39" i="3" s="1"/>
  <c r="K19" i="2"/>
  <c r="J19" i="2"/>
  <c r="I19" i="2"/>
  <c r="H19" i="2"/>
  <c r="G19" i="2"/>
  <c r="F19" i="2"/>
  <c r="E19" i="2"/>
  <c r="D19" i="2"/>
  <c r="C19" i="2"/>
  <c r="B19" i="2"/>
  <c r="L18" i="2"/>
  <c r="I38" i="3" s="1"/>
  <c r="K18" i="2"/>
  <c r="I18" i="2"/>
  <c r="H18" i="2"/>
  <c r="G18" i="2"/>
  <c r="F18" i="2"/>
  <c r="E18" i="2"/>
  <c r="D18" i="2"/>
  <c r="C18" i="2"/>
  <c r="B18" i="2"/>
  <c r="L17" i="2"/>
  <c r="I37" i="3" s="1"/>
  <c r="K17" i="2"/>
  <c r="I17" i="2"/>
  <c r="H17" i="2"/>
  <c r="G17" i="2"/>
  <c r="F17" i="2"/>
  <c r="E17" i="2"/>
  <c r="D17" i="2"/>
  <c r="C17" i="2"/>
  <c r="B17" i="2"/>
  <c r="L16" i="2"/>
  <c r="I36" i="3" s="1"/>
  <c r="K16" i="2"/>
  <c r="I16" i="2"/>
  <c r="H16" i="2"/>
  <c r="G16" i="2"/>
  <c r="F16" i="2"/>
  <c r="E16" i="2"/>
  <c r="D16" i="2"/>
  <c r="C16" i="2"/>
  <c r="B16" i="2"/>
  <c r="L15" i="2"/>
  <c r="I35" i="3" s="1"/>
  <c r="K15" i="2"/>
  <c r="I15" i="2"/>
  <c r="H15" i="2"/>
  <c r="G15" i="2"/>
  <c r="F15" i="2"/>
  <c r="E15" i="2"/>
  <c r="D15" i="2"/>
  <c r="C15" i="2"/>
  <c r="B15" i="2"/>
  <c r="L14" i="2"/>
  <c r="I34" i="3" s="1"/>
  <c r="K14" i="2"/>
  <c r="I14" i="2"/>
  <c r="H14" i="2"/>
  <c r="G14" i="2"/>
  <c r="F14" i="2"/>
  <c r="E14" i="2"/>
  <c r="D14" i="2"/>
  <c r="C14" i="2"/>
  <c r="B14" i="2"/>
  <c r="L13" i="2"/>
  <c r="I33" i="3" s="1"/>
  <c r="K13" i="2"/>
  <c r="J13" i="2"/>
  <c r="I13" i="2"/>
  <c r="H13" i="2"/>
  <c r="G13" i="2"/>
  <c r="F13" i="2"/>
  <c r="E13" i="2"/>
  <c r="D13" i="2"/>
  <c r="C13" i="2"/>
  <c r="B13" i="2"/>
  <c r="L12" i="2"/>
  <c r="I32" i="3" s="1"/>
  <c r="K12" i="2"/>
  <c r="J12" i="2"/>
  <c r="I12" i="2"/>
  <c r="H12" i="2"/>
  <c r="G12" i="2"/>
  <c r="F12" i="2"/>
  <c r="E12" i="2"/>
  <c r="M12" i="2" s="1"/>
  <c r="D12" i="2"/>
  <c r="C12" i="2"/>
  <c r="B12" i="2"/>
  <c r="L11" i="2"/>
  <c r="I31" i="3" s="1"/>
  <c r="K11" i="2"/>
  <c r="J11" i="2"/>
  <c r="I11" i="2"/>
  <c r="H11" i="2"/>
  <c r="G11" i="2"/>
  <c r="F11" i="2"/>
  <c r="E11" i="2"/>
  <c r="N11" i="2" s="1"/>
  <c r="D11" i="2"/>
  <c r="C11" i="2"/>
  <c r="B11" i="2"/>
  <c r="L10" i="2"/>
  <c r="I30" i="3" s="1"/>
  <c r="K10" i="2"/>
  <c r="I10" i="2"/>
  <c r="H10" i="2"/>
  <c r="G10" i="2"/>
  <c r="F10" i="2"/>
  <c r="E10" i="2"/>
  <c r="D10" i="2"/>
  <c r="C10" i="2"/>
  <c r="B10" i="2"/>
  <c r="L9" i="2"/>
  <c r="I29" i="3" s="1"/>
  <c r="K9" i="2"/>
  <c r="I9" i="2"/>
  <c r="H9" i="2"/>
  <c r="G9" i="2"/>
  <c r="F9" i="2"/>
  <c r="E9" i="2"/>
  <c r="D9" i="2"/>
  <c r="C9" i="2"/>
  <c r="B9" i="2"/>
  <c r="L8" i="2"/>
  <c r="I28" i="3" s="1"/>
  <c r="K8" i="2"/>
  <c r="I8" i="2"/>
  <c r="H8" i="2"/>
  <c r="G8" i="2"/>
  <c r="F8" i="2"/>
  <c r="E8" i="2"/>
  <c r="D8" i="2"/>
  <c r="C8" i="2"/>
  <c r="B8" i="2"/>
  <c r="L7" i="2"/>
  <c r="I27" i="3" s="1"/>
  <c r="K7" i="2"/>
  <c r="I7" i="2"/>
  <c r="H7" i="2"/>
  <c r="G7" i="2"/>
  <c r="F7" i="2"/>
  <c r="E7" i="2"/>
  <c r="D7" i="2"/>
  <c r="C7" i="2"/>
  <c r="B7" i="2"/>
  <c r="L6" i="2"/>
  <c r="I26" i="3" s="1"/>
  <c r="K6" i="2"/>
  <c r="J6" i="2"/>
  <c r="I6" i="2"/>
  <c r="H6" i="2"/>
  <c r="G6" i="2"/>
  <c r="F6" i="2"/>
  <c r="E6" i="2"/>
  <c r="D6" i="2"/>
  <c r="C6" i="2"/>
  <c r="B6" i="2"/>
  <c r="L5" i="2"/>
  <c r="I25" i="3" s="1"/>
  <c r="K5" i="2"/>
  <c r="J5" i="2"/>
  <c r="I5" i="2"/>
  <c r="H5" i="2"/>
  <c r="G5" i="2"/>
  <c r="F5" i="2"/>
  <c r="E5" i="2"/>
  <c r="D5" i="2"/>
  <c r="C5" i="2"/>
  <c r="B5" i="2"/>
  <c r="C44" i="1"/>
  <c r="B37" i="9" s="1"/>
  <c r="C37" i="1"/>
  <c r="B32" i="9" s="1"/>
  <c r="C33" i="1"/>
  <c r="B28" i="9" s="1"/>
  <c r="C32" i="1"/>
  <c r="B27" i="9" s="1"/>
  <c r="C31" i="1"/>
  <c r="B26" i="9" s="1"/>
  <c r="F16" i="1"/>
  <c r="E16" i="1"/>
  <c r="J15" i="9" s="1"/>
  <c r="D16" i="1"/>
  <c r="F15" i="9" s="1"/>
  <c r="F15" i="1"/>
  <c r="N9" i="9" s="1"/>
  <c r="C15" i="1"/>
  <c r="B9" i="9" s="1"/>
  <c r="C13" i="1"/>
  <c r="B7" i="9" s="1"/>
  <c r="D12" i="1"/>
  <c r="F6" i="9" s="1"/>
  <c r="F38" i="3" l="1"/>
  <c r="J32" i="2"/>
  <c r="J21" i="2"/>
  <c r="L26" i="2"/>
  <c r="I46" i="3" s="1"/>
  <c r="L31" i="2"/>
  <c r="I51" i="3" s="1"/>
  <c r="J15" i="2"/>
  <c r="J43" i="2"/>
  <c r="J8" i="2"/>
  <c r="N20" i="2"/>
  <c r="M14" i="2"/>
  <c r="J17" i="2"/>
  <c r="J38" i="2"/>
  <c r="N6" i="2"/>
  <c r="J7" i="2"/>
  <c r="J16" i="2"/>
  <c r="X36" i="2"/>
  <c r="AE36" i="2" s="1"/>
  <c r="J42" i="2"/>
  <c r="J26" i="2"/>
  <c r="M28" i="2"/>
  <c r="N37" i="2"/>
  <c r="F30" i="3"/>
  <c r="N16" i="2"/>
  <c r="J9" i="2"/>
  <c r="J23" i="2"/>
  <c r="J24" i="2"/>
  <c r="L33" i="2"/>
  <c r="I53" i="3" s="1"/>
  <c r="M26" i="2"/>
  <c r="M18" i="2"/>
  <c r="J33" i="2"/>
  <c r="N13" i="2"/>
  <c r="J14" i="2"/>
  <c r="J25" i="2"/>
  <c r="M32" i="2"/>
  <c r="M36" i="2"/>
  <c r="Z28" i="2"/>
  <c r="AC28" i="2" s="1"/>
  <c r="L27" i="2"/>
  <c r="I47" i="3" s="1"/>
  <c r="L25" i="2"/>
  <c r="I45" i="3" s="1"/>
  <c r="L28" i="2"/>
  <c r="I48" i="3" s="1"/>
  <c r="L35" i="2"/>
  <c r="I55" i="3" s="1"/>
  <c r="M43" i="2"/>
  <c r="L36" i="2"/>
  <c r="I56" i="3" s="1"/>
  <c r="L34" i="2"/>
  <c r="I54" i="3" s="1"/>
  <c r="J41" i="2"/>
  <c r="AI42" i="2"/>
  <c r="BP42" i="2" s="1"/>
  <c r="AT42" i="2" s="1"/>
  <c r="AA8" i="2"/>
  <c r="J29" i="2"/>
  <c r="L32" i="2"/>
  <c r="I52" i="3" s="1"/>
  <c r="X17" i="2"/>
  <c r="BO17" i="2" s="1"/>
  <c r="AF17" i="2" s="1"/>
  <c r="Z22" i="2"/>
  <c r="AC22" i="2" s="1"/>
  <c r="M23" i="2"/>
  <c r="J22" i="2"/>
  <c r="M8" i="2"/>
  <c r="J31" i="2"/>
  <c r="AA21" i="2"/>
  <c r="M30" i="2"/>
  <c r="J37" i="2"/>
  <c r="AA41" i="2"/>
  <c r="N21" i="2"/>
  <c r="N29" i="2"/>
  <c r="Z42" i="2"/>
  <c r="AC42" i="2" s="1"/>
  <c r="Z18" i="2"/>
  <c r="AA23" i="2"/>
  <c r="J39" i="2"/>
  <c r="AA17" i="2"/>
  <c r="N27" i="2"/>
  <c r="N31" i="2"/>
  <c r="Z33" i="2"/>
  <c r="AC33" i="2" s="1"/>
  <c r="N39" i="2"/>
  <c r="M9" i="2"/>
  <c r="N17" i="2"/>
  <c r="N19" i="2"/>
  <c r="AA25" i="2"/>
  <c r="J30" i="2"/>
  <c r="M40" i="2"/>
  <c r="X30" i="2"/>
  <c r="BO30" i="2" s="1"/>
  <c r="AI37" i="2"/>
  <c r="BP37" i="2" s="1"/>
  <c r="M7" i="2"/>
  <c r="AI9" i="2"/>
  <c r="AJ9" i="2" s="1"/>
  <c r="AX9" i="2" s="1"/>
  <c r="AI17" i="2"/>
  <c r="BP17" i="2" s="1"/>
  <c r="X28" i="2"/>
  <c r="AG28" i="2" s="1"/>
  <c r="AI29" i="2"/>
  <c r="AJ29" i="2" s="1"/>
  <c r="AX29" i="2" s="1"/>
  <c r="N35" i="2"/>
  <c r="M38" i="2"/>
  <c r="Z9" i="2"/>
  <c r="AC9" i="2" s="1"/>
  <c r="M10" i="2"/>
  <c r="Z17" i="2"/>
  <c r="AC17" i="2" s="1"/>
  <c r="N41" i="2"/>
  <c r="M5" i="2"/>
  <c r="AA15" i="2"/>
  <c r="Z27" i="2"/>
  <c r="AC27" i="2" s="1"/>
  <c r="N33" i="2"/>
  <c r="X6" i="2"/>
  <c r="AD6" i="2" s="1"/>
  <c r="AI14" i="2"/>
  <c r="BP14" i="2" s="1"/>
  <c r="AT14" i="2" s="1"/>
  <c r="AA27" i="2"/>
  <c r="AI31" i="2"/>
  <c r="AI35" i="2"/>
  <c r="N15" i="2"/>
  <c r="Z23" i="2"/>
  <c r="AC23" i="2" s="1"/>
  <c r="Z25" i="2"/>
  <c r="AC25" i="2" s="1"/>
  <c r="AI28" i="2"/>
  <c r="AJ28" i="2" s="1"/>
  <c r="AX28" i="2" s="1"/>
  <c r="Z40" i="2"/>
  <c r="AC40" i="2" s="1"/>
  <c r="Z41" i="2"/>
  <c r="AC41" i="2" s="1"/>
  <c r="X12" i="2"/>
  <c r="BO12" i="2" s="1"/>
  <c r="AF12" i="2" s="1"/>
  <c r="X19" i="2"/>
  <c r="AD19" i="2" s="1"/>
  <c r="X29" i="2"/>
  <c r="AE29" i="2" s="1"/>
  <c r="AA43" i="2"/>
  <c r="X7" i="2"/>
  <c r="Z19" i="2"/>
  <c r="AC19" i="2" s="1"/>
  <c r="M22" i="2"/>
  <c r="M24" i="2"/>
  <c r="N34" i="2"/>
  <c r="N44" i="2"/>
  <c r="AA22" i="2"/>
  <c r="AA24" i="2"/>
  <c r="Z31" i="2"/>
  <c r="AC31" i="2" s="1"/>
  <c r="M42" i="2"/>
  <c r="AB42" i="2" s="1"/>
  <c r="AI44" i="2"/>
  <c r="BP44" i="2" s="1"/>
  <c r="X35" i="2"/>
  <c r="AG35" i="2" s="1"/>
  <c r="N5" i="2"/>
  <c r="N8" i="2"/>
  <c r="AA9" i="2"/>
  <c r="X15" i="2"/>
  <c r="BO15" i="2" s="1"/>
  <c r="AF15" i="2" s="1"/>
  <c r="AA19" i="2"/>
  <c r="AI23" i="2"/>
  <c r="N28" i="2"/>
  <c r="N30" i="2"/>
  <c r="Z35" i="2"/>
  <c r="AC35" i="2" s="1"/>
  <c r="N36" i="2"/>
  <c r="X40" i="2"/>
  <c r="Y40" i="2" s="1"/>
  <c r="AI40" i="2"/>
  <c r="BP40" i="2" s="1"/>
  <c r="AT40" i="2" s="1"/>
  <c r="F56" i="3"/>
  <c r="Z8" i="2"/>
  <c r="AC8" i="2" s="1"/>
  <c r="N18" i="2"/>
  <c r="AI19" i="2"/>
  <c r="BP19" i="2" s="1"/>
  <c r="AT19" i="2" s="1"/>
  <c r="Z29" i="2"/>
  <c r="AC29" i="2" s="1"/>
  <c r="N42" i="2"/>
  <c r="Z43" i="2"/>
  <c r="AC43" i="2" s="1"/>
  <c r="J44" i="2"/>
  <c r="N7" i="2"/>
  <c r="AA28" i="2"/>
  <c r="AA33" i="2"/>
  <c r="X34" i="2"/>
  <c r="AG34" i="2" s="1"/>
  <c r="AA36" i="2"/>
  <c r="Z36" i="2"/>
  <c r="Z37" i="2"/>
  <c r="AC37" i="2" s="1"/>
  <c r="X42" i="2"/>
  <c r="AG42" i="2" s="1"/>
  <c r="F48" i="3"/>
  <c r="N12" i="2"/>
  <c r="Z13" i="2"/>
  <c r="AC13" i="2" s="1"/>
  <c r="N14" i="2"/>
  <c r="AA18" i="2"/>
  <c r="AI18" i="2"/>
  <c r="BP18" i="2" s="1"/>
  <c r="AT18" i="2" s="1"/>
  <c r="AI24" i="2"/>
  <c r="BP24" i="2" s="1"/>
  <c r="N25" i="2"/>
  <c r="AA29" i="2"/>
  <c r="AA35" i="2"/>
  <c r="AD36" i="2"/>
  <c r="N10" i="2"/>
  <c r="AA13" i="2"/>
  <c r="N23" i="2"/>
  <c r="N32" i="2"/>
  <c r="X14" i="2"/>
  <c r="Z21" i="2"/>
  <c r="AC21" i="2" s="1"/>
  <c r="X23" i="2"/>
  <c r="Y23" i="2" s="1"/>
  <c r="N24" i="2"/>
  <c r="X25" i="2"/>
  <c r="Y25" i="2" s="1"/>
  <c r="AI36" i="2"/>
  <c r="AJ36" i="2" s="1"/>
  <c r="AX36" i="2" s="1"/>
  <c r="Z39" i="2"/>
  <c r="AC39" i="2" s="1"/>
  <c r="AI41" i="2"/>
  <c r="AJ41" i="2" s="1"/>
  <c r="AX41" i="2" s="1"/>
  <c r="AA42" i="2"/>
  <c r="AI6" i="2"/>
  <c r="AJ6" i="2" s="1"/>
  <c r="AX6" i="2" s="1"/>
  <c r="AI8" i="2"/>
  <c r="AJ8" i="2" s="1"/>
  <c r="AX8" i="2" s="1"/>
  <c r="X11" i="2"/>
  <c r="BO11" i="2" s="1"/>
  <c r="AF11" i="2" s="1"/>
  <c r="N22" i="2"/>
  <c r="Z24" i="2"/>
  <c r="AC24" i="2" s="1"/>
  <c r="X31" i="2"/>
  <c r="N38" i="2"/>
  <c r="AA39" i="2"/>
  <c r="N40" i="2"/>
  <c r="N9" i="2"/>
  <c r="N26" i="2"/>
  <c r="N43" i="2"/>
  <c r="M11" i="2"/>
  <c r="AI5" i="2"/>
  <c r="Z5" i="2"/>
  <c r="X5" i="2"/>
  <c r="AA5" i="2"/>
  <c r="M15" i="2"/>
  <c r="AA6" i="2"/>
  <c r="X21" i="2"/>
  <c r="AI21" i="2"/>
  <c r="AI39" i="2"/>
  <c r="X39" i="2"/>
  <c r="AI10" i="2"/>
  <c r="AA10" i="2"/>
  <c r="AI12" i="2"/>
  <c r="AA12" i="2"/>
  <c r="AB28" i="2"/>
  <c r="M33" i="2"/>
  <c r="AI7" i="2"/>
  <c r="AA7" i="2"/>
  <c r="Z7" i="2"/>
  <c r="M17" i="2"/>
  <c r="AI27" i="2"/>
  <c r="X27" i="2"/>
  <c r="X8" i="2"/>
  <c r="BP29" i="2"/>
  <c r="M6" i="2"/>
  <c r="X10" i="2"/>
  <c r="Z14" i="2"/>
  <c r="M19" i="2"/>
  <c r="X9" i="2"/>
  <c r="AI11" i="2"/>
  <c r="Z12" i="2"/>
  <c r="AI13" i="2"/>
  <c r="X13" i="2"/>
  <c r="AA14" i="2"/>
  <c r="Z6" i="2"/>
  <c r="Z10" i="2"/>
  <c r="X22" i="2"/>
  <c r="AI22" i="2"/>
  <c r="AI26" i="2"/>
  <c r="AA26" i="2"/>
  <c r="X26" i="2"/>
  <c r="Z26" i="2"/>
  <c r="X32" i="2"/>
  <c r="AA32" i="2"/>
  <c r="Z32" i="2"/>
  <c r="AI32" i="2"/>
  <c r="AI16" i="2"/>
  <c r="AA16" i="2"/>
  <c r="Z16" i="2"/>
  <c r="AI20" i="2"/>
  <c r="AA20" i="2"/>
  <c r="AI38" i="2"/>
  <c r="AA38" i="2"/>
  <c r="X38" i="2"/>
  <c r="Z38" i="2"/>
  <c r="M13" i="2"/>
  <c r="Z15" i="2"/>
  <c r="AI15" i="2"/>
  <c r="X20" i="2"/>
  <c r="M21" i="2"/>
  <c r="X24" i="2"/>
  <c r="M39" i="2"/>
  <c r="M41" i="2"/>
  <c r="Z11" i="2"/>
  <c r="M16" i="2"/>
  <c r="X16" i="2"/>
  <c r="X18" i="2"/>
  <c r="M20" i="2"/>
  <c r="AA31" i="2"/>
  <c r="AA11" i="2"/>
  <c r="Z20" i="2"/>
  <c r="AI25" i="2"/>
  <c r="M27" i="2"/>
  <c r="M29" i="2"/>
  <c r="AI30" i="2"/>
  <c r="AA30" i="2"/>
  <c r="Z30" i="2"/>
  <c r="M35" i="2"/>
  <c r="AI33" i="2"/>
  <c r="X41" i="2"/>
  <c r="M31" i="2"/>
  <c r="X33" i="2"/>
  <c r="X37" i="2"/>
  <c r="AA37" i="2"/>
  <c r="AA40" i="2"/>
  <c r="M34" i="2"/>
  <c r="M44" i="2"/>
  <c r="M37" i="2"/>
  <c r="AI34" i="2"/>
  <c r="AA34" i="2"/>
  <c r="Z34" i="2"/>
  <c r="AI43" i="2"/>
  <c r="X43" i="2"/>
  <c r="X44" i="2"/>
  <c r="Z44" i="2"/>
  <c r="AA44" i="2"/>
  <c r="BO31" i="2" l="1"/>
  <c r="BP31" i="2"/>
  <c r="BO28" i="2"/>
  <c r="AF28" i="2" s="1"/>
  <c r="Y30" i="2"/>
  <c r="AJ42" i="2"/>
  <c r="AK42" i="2" s="1"/>
  <c r="BP41" i="2"/>
  <c r="AT41" i="2" s="1"/>
  <c r="AB36" i="2"/>
  <c r="AD17" i="2"/>
  <c r="AT17" i="2"/>
  <c r="AB18" i="2"/>
  <c r="AB40" i="2"/>
  <c r="AB23" i="2"/>
  <c r="AD42" i="2"/>
  <c r="AE17" i="2"/>
  <c r="AG7" i="2"/>
  <c r="Y36" i="2"/>
  <c r="AH36" i="2" s="1"/>
  <c r="Y17" i="2"/>
  <c r="AG36" i="2"/>
  <c r="AG17" i="2"/>
  <c r="BO6" i="2"/>
  <c r="AF6" i="2" s="1"/>
  <c r="AT24" i="2"/>
  <c r="AD25" i="2"/>
  <c r="AB29" i="2"/>
  <c r="AT29" i="2"/>
  <c r="BO42" i="2"/>
  <c r="AF42" i="2" s="1"/>
  <c r="AB22" i="2"/>
  <c r="AD31" i="2"/>
  <c r="AJ19" i="2"/>
  <c r="AX19" i="2" s="1"/>
  <c r="AD28" i="2"/>
  <c r="AJ31" i="2"/>
  <c r="AX31" i="2" s="1"/>
  <c r="AE28" i="2"/>
  <c r="AD14" i="2"/>
  <c r="AC18" i="2"/>
  <c r="BO36" i="2"/>
  <c r="AF36" i="2" s="1"/>
  <c r="AB41" i="2"/>
  <c r="AE14" i="2"/>
  <c r="BP28" i="2"/>
  <c r="AT28" i="2" s="1"/>
  <c r="AT37" i="2"/>
  <c r="AF30" i="2"/>
  <c r="AB31" i="2"/>
  <c r="AT44" i="2"/>
  <c r="AE42" i="2"/>
  <c r="AJ40" i="2"/>
  <c r="AB27" i="2"/>
  <c r="Y42" i="2"/>
  <c r="BN42" i="2" s="1"/>
  <c r="AB8" i="2"/>
  <c r="BP35" i="2"/>
  <c r="AT35" i="2" s="1"/>
  <c r="Y35" i="2"/>
  <c r="BN35" i="2" s="1"/>
  <c r="AG14" i="2"/>
  <c r="AB33" i="2"/>
  <c r="AK8" i="2"/>
  <c r="AU8" i="2" s="1"/>
  <c r="AJ44" i="2"/>
  <c r="AX44" i="2" s="1"/>
  <c r="AD35" i="2"/>
  <c r="AB21" i="2"/>
  <c r="AD23" i="2"/>
  <c r="AJ37" i="2"/>
  <c r="AX37" i="2" s="1"/>
  <c r="BP6" i="2"/>
  <c r="AT6" i="2" s="1"/>
  <c r="AF31" i="2"/>
  <c r="AG29" i="2"/>
  <c r="BO35" i="2"/>
  <c r="AF35" i="2" s="1"/>
  <c r="BO14" i="2"/>
  <c r="AF14" i="2" s="1"/>
  <c r="AB19" i="2"/>
  <c r="Y6" i="2"/>
  <c r="AJ14" i="2"/>
  <c r="AX14" i="2" s="1"/>
  <c r="AB9" i="2"/>
  <c r="AE6" i="2"/>
  <c r="BP36" i="2"/>
  <c r="AT36" i="2" s="1"/>
  <c r="AG6" i="2"/>
  <c r="AT31" i="2"/>
  <c r="AE15" i="2"/>
  <c r="AG12" i="2"/>
  <c r="AE35" i="2"/>
  <c r="Y28" i="2"/>
  <c r="AH28" i="2" s="1"/>
  <c r="BP9" i="2"/>
  <c r="AT9" i="2" s="1"/>
  <c r="Y31" i="2"/>
  <c r="BN31" i="2" s="1"/>
  <c r="AK29" i="2"/>
  <c r="AY29" i="2" s="1"/>
  <c r="AB17" i="2"/>
  <c r="AJ35" i="2"/>
  <c r="AX35" i="2" s="1"/>
  <c r="AD30" i="2"/>
  <c r="AG31" i="2"/>
  <c r="AB25" i="2"/>
  <c r="AB39" i="2"/>
  <c r="AB37" i="2"/>
  <c r="AB24" i="2"/>
  <c r="AJ24" i="2"/>
  <c r="AX24" i="2" s="1"/>
  <c r="AE7" i="2"/>
  <c r="AD7" i="2"/>
  <c r="Y12" i="2"/>
  <c r="AH12" i="2" s="1"/>
  <c r="Y29" i="2"/>
  <c r="BN29" i="2" s="1"/>
  <c r="AB43" i="2"/>
  <c r="AE30" i="2"/>
  <c r="AE12" i="2"/>
  <c r="AJ17" i="2"/>
  <c r="AE31" i="2"/>
  <c r="AG30" i="2"/>
  <c r="AD12" i="2"/>
  <c r="AK41" i="2"/>
  <c r="AU41" i="2" s="1"/>
  <c r="Y19" i="2"/>
  <c r="BO19" i="2"/>
  <c r="AF19" i="2" s="1"/>
  <c r="Y7" i="2"/>
  <c r="BO29" i="2"/>
  <c r="AF29" i="2" s="1"/>
  <c r="AB13" i="2"/>
  <c r="AE19" i="2"/>
  <c r="BO7" i="2"/>
  <c r="AF7" i="2" s="1"/>
  <c r="AD29" i="2"/>
  <c r="AG19" i="2"/>
  <c r="Y14" i="2"/>
  <c r="AH14" i="2" s="1"/>
  <c r="BO34" i="2"/>
  <c r="AF34" i="2" s="1"/>
  <c r="AD11" i="2"/>
  <c r="AE11" i="2"/>
  <c r="AC36" i="2"/>
  <c r="AE40" i="2"/>
  <c r="AG23" i="2"/>
  <c r="Y34" i="2"/>
  <c r="BN34" i="2" s="1"/>
  <c r="BP8" i="2"/>
  <c r="AT8" i="2" s="1"/>
  <c r="AJ18" i="2"/>
  <c r="AX18" i="2" s="1"/>
  <c r="AD15" i="2"/>
  <c r="AG15" i="2"/>
  <c r="Y15" i="2"/>
  <c r="AB35" i="2"/>
  <c r="AD40" i="2"/>
  <c r="AE25" i="2"/>
  <c r="Y11" i="2"/>
  <c r="BN11" i="2" s="1"/>
  <c r="BO40" i="2"/>
  <c r="AF40" i="2" s="1"/>
  <c r="BO25" i="2"/>
  <c r="AF25" i="2" s="1"/>
  <c r="BO23" i="2"/>
  <c r="AF23" i="2" s="1"/>
  <c r="AE34" i="2"/>
  <c r="AG11" i="2"/>
  <c r="AG40" i="2"/>
  <c r="AG25" i="2"/>
  <c r="AE23" i="2"/>
  <c r="AD34" i="2"/>
  <c r="BP23" i="2"/>
  <c r="AT23" i="2" s="1"/>
  <c r="AJ23" i="2"/>
  <c r="BP43" i="2"/>
  <c r="AT43" i="2" s="1"/>
  <c r="AJ43" i="2"/>
  <c r="AX43" i="2" s="1"/>
  <c r="AJ34" i="2"/>
  <c r="AX34" i="2" s="1"/>
  <c r="BP34" i="2"/>
  <c r="AT34" i="2" s="1"/>
  <c r="AB20" i="2"/>
  <c r="AC20" i="2"/>
  <c r="AC38" i="2"/>
  <c r="AB38" i="2"/>
  <c r="AC6" i="2"/>
  <c r="AB6" i="2"/>
  <c r="BN30" i="2"/>
  <c r="AH30" i="2"/>
  <c r="AG27" i="2"/>
  <c r="Y27" i="2"/>
  <c r="BO27" i="2"/>
  <c r="AF27" i="2" s="1"/>
  <c r="AE27" i="2"/>
  <c r="AD27" i="2"/>
  <c r="AG41" i="2"/>
  <c r="AD41" i="2"/>
  <c r="BO41" i="2"/>
  <c r="AF41" i="2" s="1"/>
  <c r="Y41" i="2"/>
  <c r="AE41" i="2"/>
  <c r="BP30" i="2"/>
  <c r="AT30" i="2" s="1"/>
  <c r="AJ30" i="2"/>
  <c r="AX30" i="2" s="1"/>
  <c r="BO20" i="2"/>
  <c r="AF20" i="2" s="1"/>
  <c r="Y20" i="2"/>
  <c r="AG20" i="2"/>
  <c r="AE20" i="2"/>
  <c r="AD20" i="2"/>
  <c r="BO38" i="2"/>
  <c r="AF38" i="2" s="1"/>
  <c r="AE38" i="2"/>
  <c r="AD38" i="2"/>
  <c r="AG38" i="2"/>
  <c r="Y38" i="2"/>
  <c r="AH25" i="2"/>
  <c r="BN25" i="2"/>
  <c r="AJ16" i="2"/>
  <c r="AX16" i="2" s="1"/>
  <c r="BP16" i="2"/>
  <c r="AT16" i="2" s="1"/>
  <c r="BP26" i="2"/>
  <c r="AT26" i="2" s="1"/>
  <c r="AJ26" i="2"/>
  <c r="AX26" i="2" s="1"/>
  <c r="AG13" i="2"/>
  <c r="Y13" i="2"/>
  <c r="AD13" i="2"/>
  <c r="BO13" i="2"/>
  <c r="AF13" i="2" s="1"/>
  <c r="AE13" i="2"/>
  <c r="BP27" i="2"/>
  <c r="AT27" i="2" s="1"/>
  <c r="AJ27" i="2"/>
  <c r="AX27" i="2" s="1"/>
  <c r="BP10" i="2"/>
  <c r="AT10" i="2" s="1"/>
  <c r="AJ10" i="2"/>
  <c r="AX10" i="2" s="1"/>
  <c r="Y37" i="2"/>
  <c r="AG37" i="2"/>
  <c r="BO37" i="2"/>
  <c r="AF37" i="2" s="1"/>
  <c r="AE37" i="2"/>
  <c r="AD37" i="2"/>
  <c r="AE18" i="2"/>
  <c r="AD18" i="2"/>
  <c r="AG18" i="2"/>
  <c r="BO18" i="2"/>
  <c r="AF18" i="2" s="1"/>
  <c r="Y18" i="2"/>
  <c r="AK36" i="2"/>
  <c r="AJ15" i="2"/>
  <c r="AX15" i="2" s="1"/>
  <c r="BP15" i="2"/>
  <c r="AT15" i="2" s="1"/>
  <c r="BP32" i="2"/>
  <c r="AT32" i="2" s="1"/>
  <c r="AJ32" i="2"/>
  <c r="AX32" i="2" s="1"/>
  <c r="AJ22" i="2"/>
  <c r="AX22" i="2" s="1"/>
  <c r="BP22" i="2"/>
  <c r="AT22" i="2" s="1"/>
  <c r="AJ13" i="2"/>
  <c r="AX13" i="2" s="1"/>
  <c r="BP13" i="2"/>
  <c r="AT13" i="2" s="1"/>
  <c r="AB14" i="2"/>
  <c r="AC14" i="2"/>
  <c r="AK9" i="2"/>
  <c r="BO16" i="2"/>
  <c r="AF16" i="2" s="1"/>
  <c r="Y16" i="2"/>
  <c r="AG16" i="2"/>
  <c r="AE16" i="2"/>
  <c r="AD16" i="2"/>
  <c r="AC15" i="2"/>
  <c r="AB15" i="2"/>
  <c r="BP38" i="2"/>
  <c r="AT38" i="2" s="1"/>
  <c r="AJ38" i="2"/>
  <c r="AX38" i="2" s="1"/>
  <c r="AC32" i="2"/>
  <c r="AB32" i="2"/>
  <c r="AE22" i="2"/>
  <c r="AD22" i="2"/>
  <c r="AG22" i="2"/>
  <c r="Y22" i="2"/>
  <c r="BO22" i="2"/>
  <c r="AF22" i="2" s="1"/>
  <c r="AC12" i="2"/>
  <c r="AB12" i="2"/>
  <c r="AK28" i="2"/>
  <c r="AG39" i="2"/>
  <c r="Y39" i="2"/>
  <c r="BO39" i="2"/>
  <c r="AF39" i="2" s="1"/>
  <c r="AD39" i="2"/>
  <c r="AE39" i="2"/>
  <c r="BP11" i="2"/>
  <c r="AT11" i="2" s="1"/>
  <c r="AJ11" i="2"/>
  <c r="AX11" i="2" s="1"/>
  <c r="BO10" i="2"/>
  <c r="AF10" i="2" s="1"/>
  <c r="Y10" i="2"/>
  <c r="AG10" i="2"/>
  <c r="AE10" i="2"/>
  <c r="AD10" i="2"/>
  <c r="AJ39" i="2"/>
  <c r="AX39" i="2" s="1"/>
  <c r="BP39" i="2"/>
  <c r="AT39" i="2" s="1"/>
  <c r="AC44" i="2"/>
  <c r="AB44" i="2"/>
  <c r="AD33" i="2"/>
  <c r="BO33" i="2"/>
  <c r="AF33" i="2" s="1"/>
  <c r="AG33" i="2"/>
  <c r="AE33" i="2"/>
  <c r="Y33" i="2"/>
  <c r="AJ33" i="2"/>
  <c r="AX33" i="2" s="1"/>
  <c r="BP33" i="2"/>
  <c r="AT33" i="2" s="1"/>
  <c r="AH40" i="2"/>
  <c r="BN40" i="2"/>
  <c r="AB11" i="2"/>
  <c r="AC11" i="2"/>
  <c r="AE32" i="2"/>
  <c r="Y32" i="2"/>
  <c r="AG32" i="2"/>
  <c r="BO32" i="2"/>
  <c r="AF32" i="2" s="1"/>
  <c r="AD32" i="2"/>
  <c r="BN17" i="2"/>
  <c r="AH17" i="2"/>
  <c r="AE9" i="2"/>
  <c r="AD9" i="2"/>
  <c r="Y9" i="2"/>
  <c r="BO9" i="2"/>
  <c r="AF9" i="2" s="1"/>
  <c r="AG9" i="2"/>
  <c r="BN23" i="2"/>
  <c r="AH23" i="2"/>
  <c r="AB7" i="2"/>
  <c r="AC7" i="2"/>
  <c r="BP21" i="2"/>
  <c r="AT21" i="2" s="1"/>
  <c r="AJ21" i="2"/>
  <c r="AX21" i="2" s="1"/>
  <c r="AE5" i="2"/>
  <c r="BO5" i="2"/>
  <c r="AF5" i="2" s="1"/>
  <c r="AD5" i="2"/>
  <c r="Y5" i="2"/>
  <c r="AG5" i="2"/>
  <c r="BO44" i="2"/>
  <c r="AF44" i="2" s="1"/>
  <c r="AG44" i="2"/>
  <c r="Y44" i="2"/>
  <c r="AE44" i="2"/>
  <c r="AD44" i="2"/>
  <c r="AC34" i="2"/>
  <c r="AB34" i="2"/>
  <c r="AE24" i="2"/>
  <c r="Y24" i="2"/>
  <c r="BO24" i="2"/>
  <c r="AF24" i="2" s="1"/>
  <c r="AD24" i="2"/>
  <c r="AG24" i="2"/>
  <c r="BP20" i="2"/>
  <c r="AT20" i="2" s="1"/>
  <c r="AJ20" i="2"/>
  <c r="AX20" i="2" s="1"/>
  <c r="AC26" i="2"/>
  <c r="AB26" i="2"/>
  <c r="AG8" i="2"/>
  <c r="Y8" i="2"/>
  <c r="AE8" i="2"/>
  <c r="BO8" i="2"/>
  <c r="AF8" i="2" s="1"/>
  <c r="AD8" i="2"/>
  <c r="AG21" i="2"/>
  <c r="Y21" i="2"/>
  <c r="AE21" i="2"/>
  <c r="AD21" i="2"/>
  <c r="BO21" i="2"/>
  <c r="AF21" i="2" s="1"/>
  <c r="AK6" i="2"/>
  <c r="AC5" i="2"/>
  <c r="AB5" i="2"/>
  <c r="AE43" i="2"/>
  <c r="BO43" i="2"/>
  <c r="AF43" i="2" s="1"/>
  <c r="AG43" i="2"/>
  <c r="AD43" i="2"/>
  <c r="Y43" i="2"/>
  <c r="AX40" i="2"/>
  <c r="AK40" i="2"/>
  <c r="AB30" i="2"/>
  <c r="AC30" i="2"/>
  <c r="BP25" i="2"/>
  <c r="AT25" i="2" s="1"/>
  <c r="AJ25" i="2"/>
  <c r="AX25" i="2" s="1"/>
  <c r="AB16" i="2"/>
  <c r="AC16" i="2"/>
  <c r="BO26" i="2"/>
  <c r="AF26" i="2" s="1"/>
  <c r="AE26" i="2"/>
  <c r="AD26" i="2"/>
  <c r="Y26" i="2"/>
  <c r="AG26" i="2"/>
  <c r="AC10" i="2"/>
  <c r="AB10" i="2"/>
  <c r="BP7" i="2"/>
  <c r="AT7" i="2" s="1"/>
  <c r="AJ7" i="2"/>
  <c r="AX7" i="2" s="1"/>
  <c r="BP12" i="2"/>
  <c r="AT12" i="2" s="1"/>
  <c r="AJ12" i="2"/>
  <c r="AX12" i="2" s="1"/>
  <c r="BP5" i="2"/>
  <c r="AT5" i="2" s="1"/>
  <c r="AJ5" i="2"/>
  <c r="AX5" i="2" s="1"/>
  <c r="AX42" i="2" l="1"/>
  <c r="BN36" i="2"/>
  <c r="AL8" i="2"/>
  <c r="AW8" i="2" s="1"/>
  <c r="AY8" i="2"/>
  <c r="AH42" i="2"/>
  <c r="O42" i="2" s="1"/>
  <c r="AS8" i="2"/>
  <c r="AV8" i="2"/>
  <c r="AS29" i="2"/>
  <c r="AK37" i="2"/>
  <c r="AS37" i="2" s="1"/>
  <c r="AL29" i="2"/>
  <c r="AW29" i="2" s="1"/>
  <c r="AK19" i="2"/>
  <c r="AU19" i="2" s="1"/>
  <c r="AH35" i="2"/>
  <c r="O35" i="2" s="1"/>
  <c r="AK31" i="2"/>
  <c r="AS31" i="2" s="1"/>
  <c r="BN28" i="2"/>
  <c r="O28" i="2" s="1"/>
  <c r="AR8" i="2"/>
  <c r="AV41" i="2"/>
  <c r="AH29" i="2"/>
  <c r="O29" i="2" s="1"/>
  <c r="AH34" i="2"/>
  <c r="O34" i="2" s="1"/>
  <c r="AK14" i="2"/>
  <c r="AY14" i="2" s="1"/>
  <c r="BN12" i="2"/>
  <c r="O12" i="2" s="1"/>
  <c r="AR29" i="2"/>
  <c r="AK27" i="2"/>
  <c r="AV27" i="2" s="1"/>
  <c r="AH31" i="2"/>
  <c r="O31" i="2" s="1"/>
  <c r="AU29" i="2"/>
  <c r="AV29" i="2"/>
  <c r="AK35" i="2"/>
  <c r="AS35" i="2" s="1"/>
  <c r="AK25" i="2"/>
  <c r="AS25" i="2" s="1"/>
  <c r="AH11" i="2"/>
  <c r="O11" i="2" s="1"/>
  <c r="AK44" i="2"/>
  <c r="AU44" i="2" s="1"/>
  <c r="AY41" i="2"/>
  <c r="AK24" i="2"/>
  <c r="AU24" i="2" s="1"/>
  <c r="AH6" i="2"/>
  <c r="BN6" i="2"/>
  <c r="BN14" i="2"/>
  <c r="O14" i="2" s="1"/>
  <c r="AK16" i="2"/>
  <c r="AY16" i="2" s="1"/>
  <c r="AR41" i="2"/>
  <c r="AS41" i="2"/>
  <c r="AK20" i="2"/>
  <c r="AR20" i="2" s="1"/>
  <c r="AX17" i="2"/>
  <c r="AK17" i="2"/>
  <c r="O30" i="2"/>
  <c r="AL41" i="2"/>
  <c r="AW41" i="2" s="1"/>
  <c r="AK30" i="2"/>
  <c r="AV30" i="2" s="1"/>
  <c r="AK13" i="2"/>
  <c r="AY13" i="2" s="1"/>
  <c r="BN7" i="2"/>
  <c r="AH7" i="2"/>
  <c r="AK33" i="2"/>
  <c r="AS33" i="2" s="1"/>
  <c r="BN19" i="2"/>
  <c r="AH19" i="2"/>
  <c r="AK5" i="2"/>
  <c r="AS5" i="2" s="1"/>
  <c r="O36" i="2"/>
  <c r="AK32" i="2"/>
  <c r="AR32" i="2" s="1"/>
  <c r="AK18" i="2"/>
  <c r="AS18" i="2" s="1"/>
  <c r="O40" i="2"/>
  <c r="AX23" i="2"/>
  <c r="AK23" i="2"/>
  <c r="BN15" i="2"/>
  <c r="AH15" i="2"/>
  <c r="AK21" i="2"/>
  <c r="AY21" i="2" s="1"/>
  <c r="AK10" i="2"/>
  <c r="AV10" i="2" s="1"/>
  <c r="BN43" i="2"/>
  <c r="AH43" i="2"/>
  <c r="BN33" i="2"/>
  <c r="AH33" i="2"/>
  <c r="BN18" i="2"/>
  <c r="AH18" i="2"/>
  <c r="BN41" i="2"/>
  <c r="AH41" i="2"/>
  <c r="AK7" i="2"/>
  <c r="BN26" i="2"/>
  <c r="AH26" i="2"/>
  <c r="AK11" i="2"/>
  <c r="BN39" i="2"/>
  <c r="AH39" i="2"/>
  <c r="AU9" i="2"/>
  <c r="AL9" i="2"/>
  <c r="AW9" i="2" s="1"/>
  <c r="AS9" i="2"/>
  <c r="AV9" i="2"/>
  <c r="AY9" i="2"/>
  <c r="AR9" i="2"/>
  <c r="O25" i="2"/>
  <c r="AY25" i="2"/>
  <c r="AS6" i="2"/>
  <c r="AR6" i="2"/>
  <c r="AY6" i="2"/>
  <c r="AV6" i="2"/>
  <c r="AU6" i="2"/>
  <c r="AL6" i="2"/>
  <c r="AW6" i="2" s="1"/>
  <c r="AH22" i="2"/>
  <c r="BN22" i="2"/>
  <c r="BN38" i="2"/>
  <c r="AH38" i="2"/>
  <c r="BN20" i="2"/>
  <c r="AH20" i="2"/>
  <c r="AH27" i="2"/>
  <c r="BN27" i="2"/>
  <c r="BN8" i="2"/>
  <c r="AH8" i="2"/>
  <c r="BN5" i="2"/>
  <c r="AH5" i="2"/>
  <c r="AH9" i="2"/>
  <c r="BN9" i="2"/>
  <c r="AK39" i="2"/>
  <c r="AK38" i="2"/>
  <c r="AH16" i="2"/>
  <c r="BN16" i="2"/>
  <c r="AK26" i="2"/>
  <c r="AR19" i="2"/>
  <c r="AV19" i="2"/>
  <c r="AH32" i="2"/>
  <c r="BN32" i="2"/>
  <c r="AM8" i="2"/>
  <c r="AH37" i="2"/>
  <c r="BN37" i="2"/>
  <c r="AU42" i="2"/>
  <c r="AR42" i="2"/>
  <c r="AV42" i="2"/>
  <c r="AY42" i="2"/>
  <c r="AS42" i="2"/>
  <c r="AL42" i="2"/>
  <c r="AW42" i="2" s="1"/>
  <c r="AK43" i="2"/>
  <c r="AV28" i="2"/>
  <c r="AU28" i="2"/>
  <c r="AL28" i="2"/>
  <c r="AW28" i="2" s="1"/>
  <c r="AY28" i="2"/>
  <c r="AR28" i="2"/>
  <c r="AS28" i="2"/>
  <c r="AU40" i="2"/>
  <c r="AY40" i="2"/>
  <c r="AS40" i="2"/>
  <c r="AV40" i="2"/>
  <c r="AR40" i="2"/>
  <c r="AL40" i="2"/>
  <c r="AW40" i="2" s="1"/>
  <c r="BN21" i="2"/>
  <c r="AH21" i="2"/>
  <c r="BN24" i="2"/>
  <c r="AH24" i="2"/>
  <c r="O17" i="2"/>
  <c r="BN10" i="2"/>
  <c r="AH10" i="2"/>
  <c r="AK22" i="2"/>
  <c r="AK15" i="2"/>
  <c r="AH13" i="2"/>
  <c r="BN13" i="2"/>
  <c r="AK12" i="2"/>
  <c r="BN44" i="2"/>
  <c r="AH44" i="2"/>
  <c r="O23" i="2"/>
  <c r="AU36" i="2"/>
  <c r="AV36" i="2"/>
  <c r="AL36" i="2"/>
  <c r="AW36" i="2" s="1"/>
  <c r="AS36" i="2"/>
  <c r="AR36" i="2"/>
  <c r="AY36" i="2"/>
  <c r="AU31" i="2"/>
  <c r="AK34" i="2"/>
  <c r="AL27" i="2" l="1"/>
  <c r="AW27" i="2" s="1"/>
  <c r="AR35" i="2"/>
  <c r="AL30" i="2"/>
  <c r="AW30" i="2" s="1"/>
  <c r="AR31" i="2"/>
  <c r="AY31" i="2"/>
  <c r="AR44" i="2"/>
  <c r="AL37" i="2"/>
  <c r="AW37" i="2" s="1"/>
  <c r="AS44" i="2"/>
  <c r="AR37" i="2"/>
  <c r="AL44" i="2"/>
  <c r="AW44" i="2" s="1"/>
  <c r="AU37" i="2"/>
  <c r="AV31" i="2"/>
  <c r="AV44" i="2"/>
  <c r="AV37" i="2"/>
  <c r="AL31" i="2"/>
  <c r="AW31" i="2" s="1"/>
  <c r="AU14" i="2"/>
  <c r="AY37" i="2"/>
  <c r="AR13" i="2"/>
  <c r="AM29" i="2"/>
  <c r="AN29" i="2" s="1"/>
  <c r="AP29" i="2" s="1"/>
  <c r="AY19" i="2"/>
  <c r="AS19" i="2"/>
  <c r="AL19" i="2"/>
  <c r="AW19" i="2" s="1"/>
  <c r="AS24" i="2"/>
  <c r="AY33" i="2"/>
  <c r="AU16" i="2"/>
  <c r="AR27" i="2"/>
  <c r="AS27" i="2"/>
  <c r="AR33" i="2"/>
  <c r="AV25" i="2"/>
  <c r="AU35" i="2"/>
  <c r="AV33" i="2"/>
  <c r="AY27" i="2"/>
  <c r="AU27" i="2"/>
  <c r="AR25" i="2"/>
  <c r="AV35" i="2"/>
  <c r="AL25" i="2"/>
  <c r="AW25" i="2" s="1"/>
  <c r="AL35" i="2"/>
  <c r="AW35" i="2" s="1"/>
  <c r="AR30" i="2"/>
  <c r="AY44" i="2"/>
  <c r="AS13" i="2"/>
  <c r="AY35" i="2"/>
  <c r="AY30" i="2"/>
  <c r="O8" i="2"/>
  <c r="AU25" i="2"/>
  <c r="O7" i="2"/>
  <c r="AL33" i="2"/>
  <c r="AW33" i="2" s="1"/>
  <c r="AR10" i="2"/>
  <c r="AM41" i="2"/>
  <c r="AO41" i="2" s="1"/>
  <c r="AU33" i="2"/>
  <c r="AL14" i="2"/>
  <c r="AS14" i="2"/>
  <c r="AR14" i="2"/>
  <c r="AV14" i="2"/>
  <c r="O19" i="2"/>
  <c r="AU13" i="2"/>
  <c r="AL16" i="2"/>
  <c r="AW16" i="2" s="1"/>
  <c r="AS30" i="2"/>
  <c r="AV13" i="2"/>
  <c r="O6" i="2"/>
  <c r="AV16" i="2"/>
  <c r="AU30" i="2"/>
  <c r="AL13" i="2"/>
  <c r="AW13" i="2" s="1"/>
  <c r="AR16" i="2"/>
  <c r="AS16" i="2"/>
  <c r="O26" i="2"/>
  <c r="AY24" i="2"/>
  <c r="AR24" i="2"/>
  <c r="AL20" i="2"/>
  <c r="AW20" i="2" s="1"/>
  <c r="AY32" i="2"/>
  <c r="O18" i="2"/>
  <c r="AU32" i="2"/>
  <c r="AR5" i="2"/>
  <c r="AL24" i="2"/>
  <c r="AW24" i="2" s="1"/>
  <c r="AV5" i="2"/>
  <c r="AV24" i="2"/>
  <c r="AU20" i="2"/>
  <c r="AV20" i="2"/>
  <c r="AS20" i="2"/>
  <c r="AY10" i="2"/>
  <c r="AY20" i="2"/>
  <c r="AL5" i="2"/>
  <c r="AW5" i="2" s="1"/>
  <c r="AY18" i="2"/>
  <c r="O24" i="2"/>
  <c r="O15" i="2"/>
  <c r="AU5" i="2"/>
  <c r="AV17" i="2"/>
  <c r="AU17" i="2"/>
  <c r="AL17" i="2"/>
  <c r="AW17" i="2" s="1"/>
  <c r="AY17" i="2"/>
  <c r="AR17" i="2"/>
  <c r="AS17" i="2"/>
  <c r="AM42" i="2"/>
  <c r="AN42" i="2" s="1"/>
  <c r="O44" i="2"/>
  <c r="AY5" i="2"/>
  <c r="AL10" i="2"/>
  <c r="AW10" i="2" s="1"/>
  <c r="AR18" i="2"/>
  <c r="O5" i="2"/>
  <c r="AL18" i="2"/>
  <c r="AW18" i="2" s="1"/>
  <c r="AU18" i="2"/>
  <c r="AV18" i="2"/>
  <c r="O20" i="2"/>
  <c r="AS21" i="2"/>
  <c r="O32" i="2"/>
  <c r="AV21" i="2"/>
  <c r="O21" i="2"/>
  <c r="AL32" i="2"/>
  <c r="AW32" i="2" s="1"/>
  <c r="AR21" i="2"/>
  <c r="O39" i="2"/>
  <c r="AU10" i="2"/>
  <c r="O9" i="2"/>
  <c r="AS10" i="2"/>
  <c r="AS32" i="2"/>
  <c r="AL21" i="2"/>
  <c r="AW21" i="2" s="1"/>
  <c r="AV32" i="2"/>
  <c r="AU21" i="2"/>
  <c r="AM40" i="2"/>
  <c r="AO40" i="2" s="1"/>
  <c r="AM9" i="2"/>
  <c r="AN9" i="2" s="1"/>
  <c r="O33" i="2"/>
  <c r="AL23" i="2"/>
  <c r="AS23" i="2"/>
  <c r="AR23" i="2"/>
  <c r="AY23" i="2"/>
  <c r="AV23" i="2"/>
  <c r="AU23" i="2"/>
  <c r="AY12" i="2"/>
  <c r="AV12" i="2"/>
  <c r="AU12" i="2"/>
  <c r="AL12" i="2"/>
  <c r="AW12" i="2" s="1"/>
  <c r="AR12" i="2"/>
  <c r="AS12" i="2"/>
  <c r="O38" i="2"/>
  <c r="AY7" i="2"/>
  <c r="AV7" i="2"/>
  <c r="AS7" i="2"/>
  <c r="AR7" i="2"/>
  <c r="AU7" i="2"/>
  <c r="AL7" i="2"/>
  <c r="AW7" i="2" s="1"/>
  <c r="O41" i="2"/>
  <c r="O43" i="2"/>
  <c r="AY26" i="2"/>
  <c r="AV26" i="2"/>
  <c r="AU26" i="2"/>
  <c r="AL26" i="2"/>
  <c r="AW26" i="2" s="1"/>
  <c r="AR26" i="2"/>
  <c r="AS26" i="2"/>
  <c r="O16" i="2"/>
  <c r="O22" i="2"/>
  <c r="O13" i="2"/>
  <c r="AM28" i="2"/>
  <c r="AY38" i="2"/>
  <c r="AV38" i="2"/>
  <c r="AU38" i="2"/>
  <c r="AL38" i="2"/>
  <c r="AW38" i="2" s="1"/>
  <c r="AS38" i="2"/>
  <c r="AR38" i="2"/>
  <c r="AM36" i="2"/>
  <c r="AS15" i="2"/>
  <c r="AU15" i="2"/>
  <c r="AL15" i="2"/>
  <c r="AW15" i="2" s="1"/>
  <c r="AR15" i="2"/>
  <c r="AV15" i="2"/>
  <c r="AY15" i="2"/>
  <c r="AY11" i="2"/>
  <c r="AS11" i="2"/>
  <c r="AR11" i="2"/>
  <c r="AL11" i="2"/>
  <c r="AW11" i="2" s="1"/>
  <c r="AV11" i="2"/>
  <c r="AU11" i="2"/>
  <c r="AV22" i="2"/>
  <c r="AU22" i="2"/>
  <c r="AL22" i="2"/>
  <c r="AW22" i="2" s="1"/>
  <c r="AS22" i="2"/>
  <c r="AR22" i="2"/>
  <c r="AY22" i="2"/>
  <c r="AU43" i="2"/>
  <c r="AS43" i="2"/>
  <c r="AR43" i="2"/>
  <c r="AL43" i="2"/>
  <c r="AW43" i="2" s="1"/>
  <c r="AY43" i="2"/>
  <c r="AV43" i="2"/>
  <c r="O37" i="2"/>
  <c r="AM27" i="2"/>
  <c r="AS39" i="2"/>
  <c r="AR39" i="2"/>
  <c r="AV39" i="2"/>
  <c r="AL39" i="2"/>
  <c r="AW39" i="2" s="1"/>
  <c r="AY39" i="2"/>
  <c r="AU39" i="2"/>
  <c r="O27" i="2"/>
  <c r="AM6" i="2"/>
  <c r="AY34" i="2"/>
  <c r="AS34" i="2"/>
  <c r="AR34" i="2"/>
  <c r="AL34" i="2"/>
  <c r="AW34" i="2" s="1"/>
  <c r="AV34" i="2"/>
  <c r="AU34" i="2"/>
  <c r="AM30" i="2"/>
  <c r="AO8" i="2"/>
  <c r="AN8" i="2"/>
  <c r="O10" i="2"/>
  <c r="AQ29" i="2" l="1"/>
  <c r="AM37" i="2"/>
  <c r="AO37" i="2" s="1"/>
  <c r="AM31" i="2"/>
  <c r="AO31" i="2" s="1"/>
  <c r="AM19" i="2"/>
  <c r="AO19" i="2" s="1"/>
  <c r="AM25" i="2"/>
  <c r="AN25" i="2" s="1"/>
  <c r="AM44" i="2"/>
  <c r="AN44" i="2" s="1"/>
  <c r="AQ44" i="2" s="1"/>
  <c r="AO29" i="2"/>
  <c r="P29" i="2" s="1"/>
  <c r="Q29" i="2" s="1"/>
  <c r="S29" i="2" s="1"/>
  <c r="BB29" i="2" s="1"/>
  <c r="AM35" i="2"/>
  <c r="AO35" i="2" s="1"/>
  <c r="AM16" i="2"/>
  <c r="AO16" i="2" s="1"/>
  <c r="AM20" i="2"/>
  <c r="AO20" i="2" s="1"/>
  <c r="AM33" i="2"/>
  <c r="AN33" i="2" s="1"/>
  <c r="AP33" i="2" s="1"/>
  <c r="AM13" i="2"/>
  <c r="AO13" i="2" s="1"/>
  <c r="AW14" i="2"/>
  <c r="AM14" i="2"/>
  <c r="AN41" i="2"/>
  <c r="AP41" i="2" s="1"/>
  <c r="AM10" i="2"/>
  <c r="AO10" i="2" s="1"/>
  <c r="AM24" i="2"/>
  <c r="AN24" i="2" s="1"/>
  <c r="AP24" i="2" s="1"/>
  <c r="AM21" i="2"/>
  <c r="AO21" i="2" s="1"/>
  <c r="AM43" i="2"/>
  <c r="AN43" i="2" s="1"/>
  <c r="AM5" i="2"/>
  <c r="AO5" i="2" s="1"/>
  <c r="AO42" i="2"/>
  <c r="AO9" i="2"/>
  <c r="AM17" i="2"/>
  <c r="AO17" i="2" s="1"/>
  <c r="AM32" i="2"/>
  <c r="AO32" i="2" s="1"/>
  <c r="AM18" i="2"/>
  <c r="AN18" i="2" s="1"/>
  <c r="AM22" i="2"/>
  <c r="AO22" i="2" s="1"/>
  <c r="AW23" i="2"/>
  <c r="AM23" i="2"/>
  <c r="AM7" i="2"/>
  <c r="AN7" i="2" s="1"/>
  <c r="AM15" i="2"/>
  <c r="AN15" i="2" s="1"/>
  <c r="AN40" i="2"/>
  <c r="AQ40" i="2" s="1"/>
  <c r="AM39" i="2"/>
  <c r="AO39" i="2" s="1"/>
  <c r="AQ8" i="2"/>
  <c r="AP8" i="2"/>
  <c r="AO36" i="2"/>
  <c r="AN36" i="2"/>
  <c r="AM34" i="2"/>
  <c r="AN6" i="2"/>
  <c r="AO6" i="2"/>
  <c r="AM11" i="2"/>
  <c r="AQ42" i="2"/>
  <c r="AP42" i="2"/>
  <c r="AN30" i="2"/>
  <c r="AO30" i="2"/>
  <c r="AO27" i="2"/>
  <c r="AN27" i="2"/>
  <c r="AO28" i="2"/>
  <c r="AN28" i="2"/>
  <c r="AQ9" i="2"/>
  <c r="AP9" i="2"/>
  <c r="AM12" i="2"/>
  <c r="AM26" i="2"/>
  <c r="AM38" i="2"/>
  <c r="AN31" i="2" l="1"/>
  <c r="AQ31" i="2" s="1"/>
  <c r="AO25" i="2"/>
  <c r="AN37" i="2"/>
  <c r="AP44" i="2"/>
  <c r="AN19" i="2"/>
  <c r="AQ19" i="2" s="1"/>
  <c r="AQ41" i="2"/>
  <c r="P41" i="2" s="1"/>
  <c r="Q41" i="2" s="1"/>
  <c r="S41" i="2" s="1"/>
  <c r="BH41" i="2" s="1"/>
  <c r="AN35" i="2"/>
  <c r="AP35" i="2" s="1"/>
  <c r="AO44" i="2"/>
  <c r="AN16" i="2"/>
  <c r="AP16" i="2" s="1"/>
  <c r="AN20" i="2"/>
  <c r="AQ20" i="2" s="1"/>
  <c r="AQ33" i="2"/>
  <c r="AO33" i="2"/>
  <c r="AN21" i="2"/>
  <c r="AQ21" i="2" s="1"/>
  <c r="AN32" i="2"/>
  <c r="AQ32" i="2" s="1"/>
  <c r="AO7" i="2"/>
  <c r="AN5" i="2"/>
  <c r="AQ5" i="2" s="1"/>
  <c r="AN13" i="2"/>
  <c r="AP13" i="2" s="1"/>
  <c r="V29" i="2"/>
  <c r="AN10" i="2"/>
  <c r="AP10" i="2" s="1"/>
  <c r="AQ24" i="2"/>
  <c r="P9" i="2"/>
  <c r="Q9" i="2" s="1"/>
  <c r="S9" i="2" s="1"/>
  <c r="V9" i="2" s="1"/>
  <c r="AQ13" i="2"/>
  <c r="P13" i="2" s="1"/>
  <c r="Q13" i="2" s="1"/>
  <c r="S13" i="2" s="1"/>
  <c r="AO24" i="2"/>
  <c r="AO14" i="2"/>
  <c r="AN14" i="2"/>
  <c r="AN22" i="2"/>
  <c r="AQ22" i="2" s="1"/>
  <c r="BM29" i="2"/>
  <c r="AZ29" i="2"/>
  <c r="BI29" i="2"/>
  <c r="BJ29" i="2"/>
  <c r="BG29" i="2"/>
  <c r="BH29" i="2"/>
  <c r="D49" i="3"/>
  <c r="H49" i="3" s="1"/>
  <c r="P49" i="3" s="1"/>
  <c r="BK29" i="2"/>
  <c r="T29" i="2"/>
  <c r="BF29" i="2"/>
  <c r="BA29" i="2"/>
  <c r="BC29" i="2"/>
  <c r="BQ29" i="2"/>
  <c r="AO43" i="2"/>
  <c r="BD29" i="2"/>
  <c r="U29" i="2"/>
  <c r="G49" i="3" s="1"/>
  <c r="BL29" i="2"/>
  <c r="BE29" i="2"/>
  <c r="AN17" i="2"/>
  <c r="AP17" i="2" s="1"/>
  <c r="AP40" i="2"/>
  <c r="P40" i="2" s="1"/>
  <c r="Q40" i="2" s="1"/>
  <c r="S40" i="2" s="1"/>
  <c r="AP31" i="2"/>
  <c r="P31" i="2" s="1"/>
  <c r="Q31" i="2" s="1"/>
  <c r="S31" i="2" s="1"/>
  <c r="P44" i="2"/>
  <c r="Q44" i="2" s="1"/>
  <c r="S44" i="2" s="1"/>
  <c r="BI44" i="2" s="1"/>
  <c r="AO18" i="2"/>
  <c r="AO15" i="2"/>
  <c r="P8" i="2"/>
  <c r="Q8" i="2" s="1"/>
  <c r="S8" i="2" s="1"/>
  <c r="BK8" i="2" s="1"/>
  <c r="AN39" i="2"/>
  <c r="AQ39" i="2" s="1"/>
  <c r="P42" i="2"/>
  <c r="Q42" i="2" s="1"/>
  <c r="S42" i="2" s="1"/>
  <c r="D62" i="3" s="1"/>
  <c r="AO23" i="2"/>
  <c r="AN23" i="2"/>
  <c r="AQ28" i="2"/>
  <c r="AP28" i="2"/>
  <c r="AO11" i="2"/>
  <c r="AN11" i="2"/>
  <c r="AQ30" i="2"/>
  <c r="AP30" i="2"/>
  <c r="AQ16" i="2"/>
  <c r="AQ7" i="2"/>
  <c r="AP7" i="2"/>
  <c r="AQ15" i="2"/>
  <c r="AP15" i="2"/>
  <c r="AQ6" i="2"/>
  <c r="AP6" i="2"/>
  <c r="AP18" i="2"/>
  <c r="AQ18" i="2"/>
  <c r="AO34" i="2"/>
  <c r="AN34" i="2"/>
  <c r="AN26" i="2"/>
  <c r="AO26" i="2"/>
  <c r="AO12" i="2"/>
  <c r="AN12" i="2"/>
  <c r="AP27" i="2"/>
  <c r="AQ27" i="2"/>
  <c r="AQ36" i="2"/>
  <c r="AP36" i="2"/>
  <c r="AP43" i="2"/>
  <c r="AQ43" i="2"/>
  <c r="AN38" i="2"/>
  <c r="AO38" i="2"/>
  <c r="AQ25" i="2"/>
  <c r="AP25" i="2"/>
  <c r="AQ35" i="2" l="1"/>
  <c r="AP37" i="2"/>
  <c r="AQ37" i="2"/>
  <c r="T8" i="2"/>
  <c r="AQ10" i="2"/>
  <c r="AP5" i="2"/>
  <c r="BI9" i="2"/>
  <c r="AP20" i="2"/>
  <c r="P20" i="2" s="1"/>
  <c r="Q20" i="2" s="1"/>
  <c r="S20" i="2" s="1"/>
  <c r="AP19" i="2"/>
  <c r="P19" i="2" s="1"/>
  <c r="Q19" i="2" s="1"/>
  <c r="S19" i="2" s="1"/>
  <c r="P33" i="2"/>
  <c r="Q33" i="2" s="1"/>
  <c r="S33" i="2" s="1"/>
  <c r="D53" i="3" s="1"/>
  <c r="BM9" i="2"/>
  <c r="BQ9" i="2"/>
  <c r="BK9" i="2"/>
  <c r="D29" i="3"/>
  <c r="AP32" i="2"/>
  <c r="AP21" i="2"/>
  <c r="P21" i="2" s="1"/>
  <c r="Q21" i="2" s="1"/>
  <c r="S21" i="2" s="1"/>
  <c r="AP22" i="2"/>
  <c r="P22" i="2" s="1"/>
  <c r="Q22" i="2" s="1"/>
  <c r="S22" i="2" s="1"/>
  <c r="BB22" i="2" s="1"/>
  <c r="BA9" i="2"/>
  <c r="V44" i="2"/>
  <c r="AZ9" i="2"/>
  <c r="BD9" i="2"/>
  <c r="D28" i="3"/>
  <c r="AZ8" i="2"/>
  <c r="U8" i="2"/>
  <c r="G28" i="3" s="1"/>
  <c r="BA8" i="2"/>
  <c r="BI8" i="2"/>
  <c r="N49" i="3"/>
  <c r="BE8" i="2"/>
  <c r="BF44" i="2"/>
  <c r="BH40" i="2"/>
  <c r="BC40" i="2"/>
  <c r="V40" i="2"/>
  <c r="BI40" i="2"/>
  <c r="O49" i="3"/>
  <c r="BJ44" i="2"/>
  <c r="BF9" i="2"/>
  <c r="T9" i="2"/>
  <c r="BC9" i="2"/>
  <c r="J49" i="3"/>
  <c r="AZ44" i="2"/>
  <c r="K49" i="3"/>
  <c r="BE9" i="2"/>
  <c r="U9" i="2"/>
  <c r="G29" i="3" s="1"/>
  <c r="L49" i="3"/>
  <c r="BG9" i="2"/>
  <c r="BB9" i="2"/>
  <c r="M49" i="3"/>
  <c r="BH9" i="2"/>
  <c r="BJ9" i="2"/>
  <c r="BM8" i="2"/>
  <c r="BA41" i="2"/>
  <c r="BG42" i="2"/>
  <c r="BL9" i="2"/>
  <c r="P24" i="2"/>
  <c r="Q24" i="2" s="1"/>
  <c r="S24" i="2" s="1"/>
  <c r="T24" i="2" s="1"/>
  <c r="BI13" i="2"/>
  <c r="BB13" i="2"/>
  <c r="BA13" i="2"/>
  <c r="BG13" i="2"/>
  <c r="BB40" i="2"/>
  <c r="AP14" i="2"/>
  <c r="AQ14" i="2"/>
  <c r="BL31" i="2"/>
  <c r="BM31" i="2"/>
  <c r="BJ31" i="2"/>
  <c r="BH31" i="2"/>
  <c r="U31" i="2"/>
  <c r="G51" i="3" s="1"/>
  <c r="AZ31" i="2"/>
  <c r="D60" i="3"/>
  <c r="H60" i="3" s="1"/>
  <c r="P60" i="3" s="1"/>
  <c r="BE40" i="2"/>
  <c r="BK41" i="2"/>
  <c r="BM40" i="2"/>
  <c r="BM41" i="2"/>
  <c r="D64" i="3"/>
  <c r="K64" i="3" s="1"/>
  <c r="BA40" i="2"/>
  <c r="V41" i="2"/>
  <c r="BL13" i="2"/>
  <c r="AQ17" i="2"/>
  <c r="P17" i="2" s="1"/>
  <c r="Q17" i="2" s="1"/>
  <c r="S17" i="2" s="1"/>
  <c r="BK33" i="2"/>
  <c r="BE33" i="2"/>
  <c r="T42" i="2"/>
  <c r="BF8" i="2"/>
  <c r="BH8" i="2"/>
  <c r="BL41" i="2"/>
  <c r="BE41" i="2"/>
  <c r="BD13" i="2"/>
  <c r="BC44" i="2"/>
  <c r="BM44" i="2"/>
  <c r="BQ44" i="2"/>
  <c r="BD40" i="2"/>
  <c r="AZ40" i="2"/>
  <c r="BI42" i="2"/>
  <c r="BI31" i="2"/>
  <c r="BG31" i="2"/>
  <c r="BE31" i="2"/>
  <c r="P43" i="2"/>
  <c r="Q43" i="2" s="1"/>
  <c r="S43" i="2" s="1"/>
  <c r="BI43" i="2" s="1"/>
  <c r="U44" i="2"/>
  <c r="G64" i="3" s="1"/>
  <c r="BG44" i="2"/>
  <c r="U42" i="2"/>
  <c r="G62" i="3" s="1"/>
  <c r="T31" i="2"/>
  <c r="BA31" i="2"/>
  <c r="D51" i="3"/>
  <c r="H51" i="3" s="1"/>
  <c r="P51" i="3" s="1"/>
  <c r="AZ41" i="2"/>
  <c r="BQ41" i="2"/>
  <c r="BK44" i="2"/>
  <c r="BH44" i="2"/>
  <c r="BD42" i="2"/>
  <c r="V31" i="2"/>
  <c r="BB31" i="2"/>
  <c r="BB8" i="2"/>
  <c r="BB41" i="2"/>
  <c r="BI41" i="2"/>
  <c r="BC13" i="2"/>
  <c r="BE13" i="2"/>
  <c r="BD44" i="2"/>
  <c r="T44" i="2"/>
  <c r="BL40" i="2"/>
  <c r="BQ42" i="2"/>
  <c r="BD31" i="2"/>
  <c r="BK31" i="2"/>
  <c r="BD8" i="2"/>
  <c r="BF41" i="2"/>
  <c r="T41" i="2"/>
  <c r="BQ13" i="2"/>
  <c r="BM13" i="2"/>
  <c r="BL44" i="2"/>
  <c r="BA44" i="2"/>
  <c r="BG40" i="2"/>
  <c r="BE42" i="2"/>
  <c r="BQ31" i="2"/>
  <c r="BC31" i="2"/>
  <c r="BG8" i="2"/>
  <c r="BJ41" i="2"/>
  <c r="BD41" i="2"/>
  <c r="T13" i="2"/>
  <c r="BB44" i="2"/>
  <c r="BE44" i="2"/>
  <c r="BJ40" i="2"/>
  <c r="BQ40" i="2"/>
  <c r="BM42" i="2"/>
  <c r="BF31" i="2"/>
  <c r="U13" i="2"/>
  <c r="G33" i="3" s="1"/>
  <c r="BJ13" i="2"/>
  <c r="BJ8" i="2"/>
  <c r="BQ8" i="2"/>
  <c r="P6" i="2"/>
  <c r="Q6" i="2" s="1"/>
  <c r="S6" i="2" s="1"/>
  <c r="BQ6" i="2" s="1"/>
  <c r="T33" i="2"/>
  <c r="BF13" i="2"/>
  <c r="BK13" i="2"/>
  <c r="BL8" i="2"/>
  <c r="BC8" i="2"/>
  <c r="V13" i="2"/>
  <c r="AZ13" i="2"/>
  <c r="D33" i="3"/>
  <c r="K33" i="3" s="1"/>
  <c r="AZ42" i="2"/>
  <c r="V8" i="2"/>
  <c r="BG33" i="2"/>
  <c r="BH13" i="2"/>
  <c r="BH42" i="2"/>
  <c r="P36" i="2"/>
  <c r="Q36" i="2" s="1"/>
  <c r="S36" i="2" s="1"/>
  <c r="BC36" i="2" s="1"/>
  <c r="BM33" i="2"/>
  <c r="P18" i="2"/>
  <c r="Q18" i="2" s="1"/>
  <c r="S18" i="2" s="1"/>
  <c r="BH18" i="2" s="1"/>
  <c r="P15" i="2"/>
  <c r="Q15" i="2" s="1"/>
  <c r="S15" i="2" s="1"/>
  <c r="BM15" i="2" s="1"/>
  <c r="P32" i="2"/>
  <c r="Q32" i="2" s="1"/>
  <c r="S32" i="2" s="1"/>
  <c r="BK32" i="2" s="1"/>
  <c r="P35" i="2"/>
  <c r="Q35" i="2" s="1"/>
  <c r="S35" i="2" s="1"/>
  <c r="BF35" i="2" s="1"/>
  <c r="P7" i="2"/>
  <c r="Q7" i="2" s="1"/>
  <c r="S7" i="2" s="1"/>
  <c r="BQ7" i="2" s="1"/>
  <c r="U33" i="2"/>
  <c r="G53" i="3" s="1"/>
  <c r="BF40" i="2"/>
  <c r="U40" i="2"/>
  <c r="G60" i="3" s="1"/>
  <c r="BK40" i="2"/>
  <c r="P30" i="2"/>
  <c r="Q30" i="2" s="1"/>
  <c r="S30" i="2" s="1"/>
  <c r="V30" i="2" s="1"/>
  <c r="AP39" i="2"/>
  <c r="P39" i="2" s="1"/>
  <c r="Q39" i="2" s="1"/>
  <c r="S39" i="2" s="1"/>
  <c r="T40" i="2"/>
  <c r="BC41" i="2"/>
  <c r="BG41" i="2"/>
  <c r="D61" i="3"/>
  <c r="N61" i="3" s="1"/>
  <c r="V33" i="2"/>
  <c r="BF42" i="2"/>
  <c r="V42" i="2"/>
  <c r="BH33" i="2"/>
  <c r="AZ33" i="2"/>
  <c r="BI33" i="2"/>
  <c r="BL42" i="2"/>
  <c r="BC42" i="2"/>
  <c r="U41" i="2"/>
  <c r="G61" i="3" s="1"/>
  <c r="BB33" i="2"/>
  <c r="BC33" i="2"/>
  <c r="BQ33" i="2"/>
  <c r="BA42" i="2"/>
  <c r="BK42" i="2"/>
  <c r="BF33" i="2"/>
  <c r="BL33" i="2"/>
  <c r="BJ42" i="2"/>
  <c r="BB42" i="2"/>
  <c r="P16" i="2"/>
  <c r="Q16" i="2" s="1"/>
  <c r="S16" i="2" s="1"/>
  <c r="BH16" i="2" s="1"/>
  <c r="P28" i="2"/>
  <c r="Q28" i="2" s="1"/>
  <c r="S28" i="2" s="1"/>
  <c r="BC28" i="2" s="1"/>
  <c r="P5" i="2"/>
  <c r="Q5" i="2" s="1"/>
  <c r="S5" i="2" s="1"/>
  <c r="P10" i="2"/>
  <c r="Q10" i="2" s="1"/>
  <c r="S10" i="2" s="1"/>
  <c r="BG10" i="2" s="1"/>
  <c r="AP23" i="2"/>
  <c r="AQ23" i="2"/>
  <c r="P27" i="2"/>
  <c r="Q27" i="2" s="1"/>
  <c r="S27" i="2" s="1"/>
  <c r="BM27" i="2" s="1"/>
  <c r="P25" i="2"/>
  <c r="Q25" i="2" s="1"/>
  <c r="S25" i="2" s="1"/>
  <c r="AZ25" i="2" s="1"/>
  <c r="D63" i="3"/>
  <c r="BD43" i="2"/>
  <c r="AQ12" i="2"/>
  <c r="AP12" i="2"/>
  <c r="AQ11" i="2"/>
  <c r="AP11" i="2"/>
  <c r="AQ38" i="2"/>
  <c r="AP38" i="2"/>
  <c r="AQ26" i="2"/>
  <c r="AP26" i="2"/>
  <c r="AQ34" i="2"/>
  <c r="AP34" i="2"/>
  <c r="H28" i="3"/>
  <c r="P28" i="3" s="1"/>
  <c r="N28" i="3"/>
  <c r="M28" i="3"/>
  <c r="L28" i="3"/>
  <c r="K28" i="3"/>
  <c r="J28" i="3"/>
  <c r="BI6" i="2"/>
  <c r="BF6" i="2"/>
  <c r="BE6" i="2"/>
  <c r="P53" i="3"/>
  <c r="H53" i="3"/>
  <c r="O53" i="3"/>
  <c r="N53" i="3"/>
  <c r="M53" i="3"/>
  <c r="L53" i="3"/>
  <c r="K53" i="3"/>
  <c r="J53" i="3"/>
  <c r="P62" i="3"/>
  <c r="H62" i="3"/>
  <c r="O62" i="3"/>
  <c r="N62" i="3"/>
  <c r="M62" i="3"/>
  <c r="L62" i="3"/>
  <c r="K62" i="3"/>
  <c r="J62" i="3"/>
  <c r="P29" i="3"/>
  <c r="H29" i="3"/>
  <c r="O29" i="3"/>
  <c r="N29" i="3"/>
  <c r="M29" i="3"/>
  <c r="L29" i="3"/>
  <c r="K29" i="3"/>
  <c r="J29" i="3"/>
  <c r="BQ36" i="2" l="1"/>
  <c r="BH36" i="2"/>
  <c r="O28" i="3"/>
  <c r="N64" i="3"/>
  <c r="P37" i="2"/>
  <c r="Q37" i="2" s="1"/>
  <c r="S37" i="2" s="1"/>
  <c r="H64" i="3"/>
  <c r="P64" i="3" s="1"/>
  <c r="BF24" i="2"/>
  <c r="BI19" i="2"/>
  <c r="BM19" i="2"/>
  <c r="U19" i="2"/>
  <c r="G39" i="3" s="1"/>
  <c r="BD19" i="2"/>
  <c r="BA19" i="2"/>
  <c r="BJ19" i="2"/>
  <c r="BG19" i="2"/>
  <c r="BC19" i="2"/>
  <c r="T19" i="2"/>
  <c r="D39" i="3"/>
  <c r="N39" i="3" s="1"/>
  <c r="BK19" i="2"/>
  <c r="BF19" i="2"/>
  <c r="BL19" i="2"/>
  <c r="BH19" i="2"/>
  <c r="BB19" i="2"/>
  <c r="AZ19" i="2"/>
  <c r="V19" i="2"/>
  <c r="BE19" i="2"/>
  <c r="BQ19" i="2"/>
  <c r="BF20" i="2"/>
  <c r="D40" i="3"/>
  <c r="BE20" i="2"/>
  <c r="BH20" i="2"/>
  <c r="AZ20" i="2"/>
  <c r="BL20" i="2"/>
  <c r="BB20" i="2"/>
  <c r="T20" i="2"/>
  <c r="BI20" i="2"/>
  <c r="BD20" i="2"/>
  <c r="BI7" i="2"/>
  <c r="BA33" i="2"/>
  <c r="BD33" i="2"/>
  <c r="M64" i="3"/>
  <c r="BG43" i="2"/>
  <c r="BJ33" i="2"/>
  <c r="BQ18" i="2"/>
  <c r="T43" i="2"/>
  <c r="BM20" i="2"/>
  <c r="BL36" i="2"/>
  <c r="BQ43" i="2"/>
  <c r="Q49" i="3"/>
  <c r="BA20" i="2"/>
  <c r="V36" i="2"/>
  <c r="V43" i="2"/>
  <c r="BL43" i="2"/>
  <c r="BC43" i="2"/>
  <c r="BC20" i="2"/>
  <c r="BG20" i="2"/>
  <c r="O64" i="3"/>
  <c r="BE43" i="2"/>
  <c r="D41" i="3"/>
  <c r="AZ21" i="2"/>
  <c r="BM21" i="2"/>
  <c r="BQ21" i="2"/>
  <c r="BB21" i="2"/>
  <c r="BJ24" i="2"/>
  <c r="BJ43" i="2"/>
  <c r="BK43" i="2"/>
  <c r="L51" i="3"/>
  <c r="BB24" i="2"/>
  <c r="N51" i="3"/>
  <c r="K60" i="3"/>
  <c r="BF43" i="2"/>
  <c r="J51" i="3"/>
  <c r="BJ28" i="2"/>
  <c r="AZ35" i="2"/>
  <c r="N60" i="3"/>
  <c r="BA24" i="2"/>
  <c r="AZ6" i="2"/>
  <c r="BK21" i="2"/>
  <c r="M51" i="3"/>
  <c r="H33" i="3"/>
  <c r="P33" i="3" s="1"/>
  <c r="AZ43" i="2"/>
  <c r="D52" i="3"/>
  <c r="BI24" i="2"/>
  <c r="T21" i="2"/>
  <c r="U28" i="2"/>
  <c r="G48" i="3" s="1"/>
  <c r="D44" i="3"/>
  <c r="L44" i="3" s="1"/>
  <c r="BD6" i="2"/>
  <c r="T6" i="2"/>
  <c r="BI21" i="2"/>
  <c r="BL21" i="2"/>
  <c r="L64" i="3"/>
  <c r="BM6" i="2"/>
  <c r="BA6" i="2"/>
  <c r="BJ21" i="2"/>
  <c r="BE21" i="2"/>
  <c r="U6" i="2"/>
  <c r="G26" i="3" s="1"/>
  <c r="D26" i="3"/>
  <c r="BH21" i="2"/>
  <c r="BF21" i="2"/>
  <c r="BD15" i="2"/>
  <c r="U20" i="2"/>
  <c r="G40" i="3" s="1"/>
  <c r="BJ20" i="2"/>
  <c r="BG6" i="2"/>
  <c r="BJ6" i="2"/>
  <c r="V21" i="2"/>
  <c r="BG21" i="2"/>
  <c r="J64" i="3"/>
  <c r="BM43" i="2"/>
  <c r="BH43" i="2"/>
  <c r="BM30" i="2"/>
  <c r="V20" i="2"/>
  <c r="BK20" i="2"/>
  <c r="BC6" i="2"/>
  <c r="BK6" i="2"/>
  <c r="BA21" i="2"/>
  <c r="BD21" i="2"/>
  <c r="O44" i="3"/>
  <c r="L33" i="3"/>
  <c r="BL6" i="2"/>
  <c r="BB6" i="2"/>
  <c r="U21" i="2"/>
  <c r="G41" i="3" s="1"/>
  <c r="BC21" i="2"/>
  <c r="BG36" i="2"/>
  <c r="BE18" i="2"/>
  <c r="BA30" i="2"/>
  <c r="BB36" i="2"/>
  <c r="BM18" i="2"/>
  <c r="AZ36" i="2"/>
  <c r="BD36" i="2"/>
  <c r="BI18" i="2"/>
  <c r="T36" i="2"/>
  <c r="BE36" i="2"/>
  <c r="BK18" i="2"/>
  <c r="P14" i="2"/>
  <c r="Q14" i="2" s="1"/>
  <c r="S14" i="2" s="1"/>
  <c r="BM14" i="2" s="1"/>
  <c r="BI36" i="2"/>
  <c r="BK36" i="2"/>
  <c r="K61" i="3"/>
  <c r="BG5" i="2"/>
  <c r="BJ36" i="2"/>
  <c r="D56" i="3"/>
  <c r="L61" i="3"/>
  <c r="M60" i="3"/>
  <c r="D25" i="3"/>
  <c r="M61" i="3"/>
  <c r="BJ18" i="2"/>
  <c r="AZ24" i="2"/>
  <c r="BK24" i="2"/>
  <c r="BF36" i="2"/>
  <c r="BM36" i="2"/>
  <c r="BB18" i="2"/>
  <c r="V18" i="2"/>
  <c r="V27" i="2"/>
  <c r="BM24" i="2"/>
  <c r="T18" i="2"/>
  <c r="BC18" i="2"/>
  <c r="BL30" i="2"/>
  <c r="V24" i="2"/>
  <c r="U18" i="2"/>
  <c r="G38" i="3" s="1"/>
  <c r="BD18" i="2"/>
  <c r="BJ22" i="2"/>
  <c r="BQ24" i="2"/>
  <c r="BD24" i="2"/>
  <c r="BL24" i="2"/>
  <c r="BE24" i="2"/>
  <c r="J60" i="3"/>
  <c r="AZ18" i="2"/>
  <c r="D38" i="3"/>
  <c r="L38" i="3" s="1"/>
  <c r="N33" i="3"/>
  <c r="O33" i="3"/>
  <c r="V32" i="2"/>
  <c r="BH24" i="2"/>
  <c r="BG24" i="2"/>
  <c r="U24" i="2"/>
  <c r="G44" i="3" s="1"/>
  <c r="BL5" i="2"/>
  <c r="L60" i="3"/>
  <c r="J33" i="3"/>
  <c r="BC24" i="2"/>
  <c r="BQ20" i="2"/>
  <c r="BA36" i="2"/>
  <c r="U36" i="2"/>
  <c r="G56" i="3" s="1"/>
  <c r="O51" i="3"/>
  <c r="BA18" i="2"/>
  <c r="BG18" i="2"/>
  <c r="BL18" i="2"/>
  <c r="D50" i="3"/>
  <c r="BA7" i="2"/>
  <c r="M33" i="3"/>
  <c r="Q33" i="3" s="1"/>
  <c r="BE32" i="2"/>
  <c r="K51" i="3"/>
  <c r="BF18" i="2"/>
  <c r="BD32" i="2"/>
  <c r="BD25" i="2"/>
  <c r="BH17" i="2"/>
  <c r="BK17" i="2"/>
  <c r="D37" i="3"/>
  <c r="H37" i="3" s="1"/>
  <c r="P37" i="3" s="1"/>
  <c r="BL17" i="2"/>
  <c r="BQ16" i="2"/>
  <c r="BG32" i="2"/>
  <c r="AZ16" i="2"/>
  <c r="BH5" i="2"/>
  <c r="BA5" i="2"/>
  <c r="BD16" i="2"/>
  <c r="BA32" i="2"/>
  <c r="T16" i="2"/>
  <c r="BG28" i="2"/>
  <c r="BK28" i="2"/>
  <c r="BJ32" i="2"/>
  <c r="BH32" i="2"/>
  <c r="BF28" i="2"/>
  <c r="BJ7" i="2"/>
  <c r="AZ17" i="2"/>
  <c r="BL32" i="2"/>
  <c r="BQ32" i="2"/>
  <c r="BH28" i="2"/>
  <c r="BB7" i="2"/>
  <c r="U17" i="2"/>
  <c r="G37" i="3" s="1"/>
  <c r="U43" i="2"/>
  <c r="G63" i="3" s="1"/>
  <c r="J63" i="3" s="1"/>
  <c r="BA43" i="2"/>
  <c r="BM32" i="2"/>
  <c r="AZ32" i="2"/>
  <c r="BI28" i="2"/>
  <c r="BK16" i="2"/>
  <c r="BE7" i="2"/>
  <c r="BJ17" i="2"/>
  <c r="J61" i="3"/>
  <c r="BB43" i="2"/>
  <c r="T32" i="2"/>
  <c r="BI32" i="2"/>
  <c r="BE28" i="2"/>
  <c r="V16" i="2"/>
  <c r="BH7" i="2"/>
  <c r="BC5" i="2"/>
  <c r="V35" i="2"/>
  <c r="BB17" i="2"/>
  <c r="BB32" i="2"/>
  <c r="BC32" i="2"/>
  <c r="BB28" i="2"/>
  <c r="BE35" i="2"/>
  <c r="BM17" i="2"/>
  <c r="BJ15" i="2"/>
  <c r="T15" i="2"/>
  <c r="BA22" i="2"/>
  <c r="V22" i="2"/>
  <c r="U15" i="2"/>
  <c r="G35" i="3" s="1"/>
  <c r="BA15" i="2"/>
  <c r="BE22" i="2"/>
  <c r="BK22" i="2"/>
  <c r="BF15" i="2"/>
  <c r="BQ15" i="2"/>
  <c r="BF22" i="2"/>
  <c r="BL22" i="2"/>
  <c r="T30" i="2"/>
  <c r="BG15" i="2"/>
  <c r="BD5" i="2"/>
  <c r="BG22" i="2"/>
  <c r="D42" i="3"/>
  <c r="H42" i="3" s="1"/>
  <c r="P42" i="3" s="1"/>
  <c r="U30" i="2"/>
  <c r="G50" i="3" s="1"/>
  <c r="O50" i="3" s="1"/>
  <c r="BQ28" i="2"/>
  <c r="BD28" i="2"/>
  <c r="U7" i="2"/>
  <c r="G27" i="3" s="1"/>
  <c r="BE15" i="2"/>
  <c r="BM5" i="2"/>
  <c r="BH22" i="2"/>
  <c r="BI30" i="2"/>
  <c r="BA28" i="2"/>
  <c r="BL28" i="2"/>
  <c r="BA16" i="2"/>
  <c r="BF7" i="2"/>
  <c r="BK15" i="2"/>
  <c r="BB10" i="2"/>
  <c r="T5" i="2"/>
  <c r="BQ22" i="2"/>
  <c r="BJ30" i="2"/>
  <c r="T28" i="2"/>
  <c r="D48" i="3"/>
  <c r="L48" i="3" s="1"/>
  <c r="AZ7" i="2"/>
  <c r="V7" i="2"/>
  <c r="BL15" i="2"/>
  <c r="BB5" i="2"/>
  <c r="U22" i="2"/>
  <c r="G42" i="3" s="1"/>
  <c r="P61" i="3"/>
  <c r="O60" i="3"/>
  <c r="BC16" i="2"/>
  <c r="BM7" i="2"/>
  <c r="T7" i="2"/>
  <c r="BH27" i="2"/>
  <c r="D47" i="3"/>
  <c r="H47" i="3" s="1"/>
  <c r="P47" i="3" s="1"/>
  <c r="BB27" i="2"/>
  <c r="P23" i="2"/>
  <c r="Q23" i="2" s="1"/>
  <c r="S23" i="2" s="1"/>
  <c r="BE23" i="2" s="1"/>
  <c r="O61" i="3"/>
  <c r="BC30" i="2"/>
  <c r="BF30" i="2"/>
  <c r="BM28" i="2"/>
  <c r="V28" i="2"/>
  <c r="U16" i="2"/>
  <c r="G36" i="3" s="1"/>
  <c r="BG16" i="2"/>
  <c r="BK7" i="2"/>
  <c r="BG7" i="2"/>
  <c r="BI27" i="2"/>
  <c r="BA17" i="2"/>
  <c r="H61" i="3"/>
  <c r="BQ30" i="2"/>
  <c r="AZ30" i="2"/>
  <c r="AZ28" i="2"/>
  <c r="BF16" i="2"/>
  <c r="D36" i="3"/>
  <c r="N36" i="3" s="1"/>
  <c r="BL7" i="2"/>
  <c r="D27" i="3"/>
  <c r="P27" i="3" s="1"/>
  <c r="BF27" i="2"/>
  <c r="BJ5" i="2"/>
  <c r="BG35" i="2"/>
  <c r="BF17" i="2"/>
  <c r="BC39" i="2"/>
  <c r="BJ39" i="2"/>
  <c r="U39" i="2"/>
  <c r="G59" i="3" s="1"/>
  <c r="BD30" i="2"/>
  <c r="BG30" i="2"/>
  <c r="BL16" i="2"/>
  <c r="BI16" i="2"/>
  <c r="BH15" i="2"/>
  <c r="BB15" i="2"/>
  <c r="BI15" i="2"/>
  <c r="U27" i="2"/>
  <c r="G47" i="3" s="1"/>
  <c r="M47" i="3" s="1"/>
  <c r="BQ5" i="2"/>
  <c r="BK5" i="2"/>
  <c r="T22" i="2"/>
  <c r="BC22" i="2"/>
  <c r="BJ35" i="2"/>
  <c r="BD17" i="2"/>
  <c r="BG17" i="2"/>
  <c r="BB30" i="2"/>
  <c r="BE30" i="2"/>
  <c r="BH30" i="2"/>
  <c r="BM16" i="2"/>
  <c r="BB16" i="2"/>
  <c r="BJ16" i="2"/>
  <c r="AZ15" i="2"/>
  <c r="BC15" i="2"/>
  <c r="D35" i="3"/>
  <c r="H35" i="3" s="1"/>
  <c r="P35" i="3" s="1"/>
  <c r="BG27" i="2"/>
  <c r="BA10" i="2"/>
  <c r="AZ22" i="2"/>
  <c r="BI22" i="2"/>
  <c r="BD22" i="2"/>
  <c r="BI35" i="2"/>
  <c r="T17" i="2"/>
  <c r="V17" i="2"/>
  <c r="BQ27" i="2"/>
  <c r="T35" i="2"/>
  <c r="BC17" i="2"/>
  <c r="BE17" i="2"/>
  <c r="V6" i="2"/>
  <c r="BH6" i="2"/>
  <c r="BK30" i="2"/>
  <c r="BF32" i="2"/>
  <c r="U32" i="2"/>
  <c r="G52" i="3" s="1"/>
  <c r="M52" i="3" s="1"/>
  <c r="BE16" i="2"/>
  <c r="BD7" i="2"/>
  <c r="BC7" i="2"/>
  <c r="V15" i="2"/>
  <c r="BK27" i="2"/>
  <c r="BD27" i="2"/>
  <c r="U5" i="2"/>
  <c r="G25" i="3" s="1"/>
  <c r="BE5" i="2"/>
  <c r="BM22" i="2"/>
  <c r="BL35" i="2"/>
  <c r="BQ17" i="2"/>
  <c r="BI17" i="2"/>
  <c r="BG25" i="2"/>
  <c r="BG39" i="2"/>
  <c r="BK35" i="2"/>
  <c r="BD35" i="2"/>
  <c r="D55" i="3"/>
  <c r="D45" i="3"/>
  <c r="H45" i="3" s="1"/>
  <c r="P45" i="3" s="1"/>
  <c r="BA39" i="2"/>
  <c r="P11" i="2"/>
  <c r="Q11" i="2" s="1"/>
  <c r="S11" i="2" s="1"/>
  <c r="BK11" i="2" s="1"/>
  <c r="P34" i="2"/>
  <c r="Q34" i="2" s="1"/>
  <c r="S34" i="2" s="1"/>
  <c r="D54" i="3" s="1"/>
  <c r="T27" i="2"/>
  <c r="BL27" i="2"/>
  <c r="BH35" i="2"/>
  <c r="BM35" i="2"/>
  <c r="BB35" i="2"/>
  <c r="BA35" i="2"/>
  <c r="BC35" i="2"/>
  <c r="U35" i="2"/>
  <c r="G55" i="3" s="1"/>
  <c r="BQ35" i="2"/>
  <c r="V10" i="2"/>
  <c r="BD39" i="2"/>
  <c r="BJ10" i="2"/>
  <c r="BK10" i="2"/>
  <c r="P12" i="2"/>
  <c r="Q12" i="2" s="1"/>
  <c r="S12" i="2" s="1"/>
  <c r="T12" i="2" s="1"/>
  <c r="BL10" i="2"/>
  <c r="P38" i="2"/>
  <c r="Q38" i="2" s="1"/>
  <c r="S38" i="2" s="1"/>
  <c r="BG38" i="2" s="1"/>
  <c r="AZ27" i="2"/>
  <c r="BJ27" i="2"/>
  <c r="BE27" i="2"/>
  <c r="BB39" i="2"/>
  <c r="BI10" i="2"/>
  <c r="AZ5" i="2"/>
  <c r="BF5" i="2"/>
  <c r="BA27" i="2"/>
  <c r="BC27" i="2"/>
  <c r="D59" i="3"/>
  <c r="K59" i="3" s="1"/>
  <c r="BQ10" i="2"/>
  <c r="BI5" i="2"/>
  <c r="V5" i="2"/>
  <c r="BJ23" i="2"/>
  <c r="U23" i="2"/>
  <c r="G43" i="3" s="1"/>
  <c r="BM25" i="2"/>
  <c r="BJ25" i="2"/>
  <c r="BI39" i="2"/>
  <c r="BL39" i="2"/>
  <c r="BE10" i="2"/>
  <c r="AZ10" i="2"/>
  <c r="BB25" i="2"/>
  <c r="T25" i="2"/>
  <c r="BQ39" i="2"/>
  <c r="T39" i="2"/>
  <c r="BE39" i="2"/>
  <c r="U10" i="2"/>
  <c r="G30" i="3" s="1"/>
  <c r="BH10" i="2"/>
  <c r="P26" i="2"/>
  <c r="Q26" i="2" s="1"/>
  <c r="S26" i="2" s="1"/>
  <c r="U26" i="2" s="1"/>
  <c r="G46" i="3" s="1"/>
  <c r="U25" i="2"/>
  <c r="G45" i="3" s="1"/>
  <c r="BA25" i="2"/>
  <c r="AZ39" i="2"/>
  <c r="BF39" i="2"/>
  <c r="BM39" i="2"/>
  <c r="BF10" i="2"/>
  <c r="T10" i="2"/>
  <c r="BK25" i="2"/>
  <c r="BF25" i="2"/>
  <c r="BI25" i="2"/>
  <c r="BL25" i="2"/>
  <c r="V25" i="2"/>
  <c r="BQ25" i="2"/>
  <c r="BE25" i="2"/>
  <c r="BH25" i="2"/>
  <c r="V39" i="2"/>
  <c r="BK39" i="2"/>
  <c r="BC10" i="2"/>
  <c r="BM10" i="2"/>
  <c r="D30" i="3"/>
  <c r="N30" i="3" s="1"/>
  <c r="BC25" i="2"/>
  <c r="BH39" i="2"/>
  <c r="BD10" i="2"/>
  <c r="M36" i="3"/>
  <c r="K36" i="3"/>
  <c r="O36" i="3"/>
  <c r="H41" i="3"/>
  <c r="P41" i="3" s="1"/>
  <c r="O41" i="3"/>
  <c r="N41" i="3"/>
  <c r="M41" i="3"/>
  <c r="L41" i="3"/>
  <c r="K41" i="3"/>
  <c r="J41" i="3"/>
  <c r="H40" i="3"/>
  <c r="P40" i="3" s="1"/>
  <c r="M40" i="3"/>
  <c r="L40" i="3"/>
  <c r="K40" i="3"/>
  <c r="J40" i="3"/>
  <c r="O40" i="3"/>
  <c r="N40" i="3"/>
  <c r="Q28" i="3"/>
  <c r="H63" i="3"/>
  <c r="P63" i="3" s="1"/>
  <c r="K63" i="3"/>
  <c r="N63" i="3"/>
  <c r="L63" i="3"/>
  <c r="H52" i="3"/>
  <c r="P52" i="3" s="1"/>
  <c r="K52" i="3"/>
  <c r="O27" i="3"/>
  <c r="M27" i="3"/>
  <c r="K27" i="3"/>
  <c r="J27" i="3"/>
  <c r="P25" i="3"/>
  <c r="H25" i="3"/>
  <c r="O25" i="3"/>
  <c r="N25" i="3"/>
  <c r="M25" i="3"/>
  <c r="L25" i="3"/>
  <c r="K25" i="3"/>
  <c r="J25" i="3"/>
  <c r="Q64" i="3"/>
  <c r="P38" i="3"/>
  <c r="O38" i="3"/>
  <c r="N38" i="3"/>
  <c r="M38" i="3"/>
  <c r="K38" i="3"/>
  <c r="J38" i="3"/>
  <c r="P26" i="3"/>
  <c r="H26" i="3"/>
  <c r="O26" i="3"/>
  <c r="N26" i="3"/>
  <c r="M26" i="3"/>
  <c r="L26" i="3"/>
  <c r="K26" i="3"/>
  <c r="J26" i="3"/>
  <c r="V38" i="2"/>
  <c r="H48" i="3"/>
  <c r="P48" i="3" s="1"/>
  <c r="M48" i="3"/>
  <c r="K48" i="3"/>
  <c r="J48" i="3"/>
  <c r="Q29" i="3"/>
  <c r="Q62" i="3"/>
  <c r="Q53" i="3"/>
  <c r="Q51" i="3"/>
  <c r="P56" i="3"/>
  <c r="H56" i="3"/>
  <c r="M56" i="3"/>
  <c r="L56" i="3"/>
  <c r="K56" i="3"/>
  <c r="J56" i="3"/>
  <c r="O56" i="3"/>
  <c r="N56" i="3"/>
  <c r="BF11" i="2"/>
  <c r="BB11" i="2"/>
  <c r="BL11" i="2"/>
  <c r="H50" i="3"/>
  <c r="P50" i="3" s="1"/>
  <c r="N50" i="3"/>
  <c r="M50" i="3"/>
  <c r="K50" i="3"/>
  <c r="J50" i="3"/>
  <c r="M42" i="3"/>
  <c r="L42" i="3"/>
  <c r="K42" i="3"/>
  <c r="J42" i="3"/>
  <c r="K37" i="3" l="1"/>
  <c r="Q60" i="3"/>
  <c r="D31" i="3"/>
  <c r="L36" i="3"/>
  <c r="J39" i="3"/>
  <c r="L27" i="3"/>
  <c r="M63" i="3"/>
  <c r="N27" i="3"/>
  <c r="O63" i="3"/>
  <c r="BA23" i="2"/>
  <c r="BL23" i="2"/>
  <c r="O42" i="3"/>
  <c r="H27" i="3"/>
  <c r="BQ23" i="2"/>
  <c r="BA38" i="2"/>
  <c r="BJ38" i="2"/>
  <c r="O35" i="3"/>
  <c r="BQ38" i="2"/>
  <c r="K35" i="3"/>
  <c r="BI38" i="2"/>
  <c r="BQ12" i="2"/>
  <c r="V14" i="2"/>
  <c r="T37" i="2"/>
  <c r="U37" i="2"/>
  <c r="G57" i="3" s="1"/>
  <c r="BM37" i="2"/>
  <c r="BI37" i="2"/>
  <c r="BG37" i="2"/>
  <c r="BL37" i="2"/>
  <c r="BK37" i="2"/>
  <c r="BF37" i="2"/>
  <c r="BH37" i="2"/>
  <c r="BJ37" i="2"/>
  <c r="BC37" i="2"/>
  <c r="BQ37" i="2"/>
  <c r="V37" i="2"/>
  <c r="BD37" i="2"/>
  <c r="BA37" i="2"/>
  <c r="BE37" i="2"/>
  <c r="D57" i="3"/>
  <c r="BB37" i="2"/>
  <c r="AZ37" i="2"/>
  <c r="BE38" i="2"/>
  <c r="BK12" i="2"/>
  <c r="BI14" i="2"/>
  <c r="O52" i="3"/>
  <c r="BC12" i="2"/>
  <c r="BL14" i="2"/>
  <c r="N42" i="3"/>
  <c r="BD38" i="2"/>
  <c r="BD12" i="2"/>
  <c r="T38" i="2"/>
  <c r="D32" i="3"/>
  <c r="P44" i="3"/>
  <c r="D58" i="3"/>
  <c r="BK38" i="2"/>
  <c r="U12" i="2"/>
  <c r="G32" i="3" s="1"/>
  <c r="O39" i="3"/>
  <c r="H39" i="3"/>
  <c r="K39" i="3"/>
  <c r="M39" i="3"/>
  <c r="L39" i="3"/>
  <c r="P39" i="3"/>
  <c r="L50" i="3"/>
  <c r="N48" i="3"/>
  <c r="K47" i="3"/>
  <c r="O48" i="3"/>
  <c r="BB38" i="2"/>
  <c r="U38" i="2"/>
  <c r="G58" i="3" s="1"/>
  <c r="BL12" i="2"/>
  <c r="O37" i="3"/>
  <c r="BA11" i="2"/>
  <c r="BD23" i="2"/>
  <c r="B11" i="9"/>
  <c r="D30" i="1"/>
  <c r="F25" i="9" s="1"/>
  <c r="BC38" i="2"/>
  <c r="BM38" i="2"/>
  <c r="BC23" i="2"/>
  <c r="N37" i="3"/>
  <c r="Q61" i="3"/>
  <c r="H59" i="3"/>
  <c r="BI23" i="2"/>
  <c r="K44" i="3"/>
  <c r="N44" i="3"/>
  <c r="H44" i="3"/>
  <c r="M44" i="3"/>
  <c r="J44" i="3"/>
  <c r="D32" i="1"/>
  <c r="F27" i="9" s="1"/>
  <c r="D34" i="1"/>
  <c r="F29" i="9" s="1"/>
  <c r="N59" i="3"/>
  <c r="J35" i="3"/>
  <c r="BA14" i="2"/>
  <c r="BQ14" i="2"/>
  <c r="L59" i="3"/>
  <c r="BG11" i="2"/>
  <c r="J47" i="3"/>
  <c r="H38" i="3"/>
  <c r="M37" i="3"/>
  <c r="N35" i="3"/>
  <c r="BH14" i="2"/>
  <c r="AZ11" i="2"/>
  <c r="D36" i="1"/>
  <c r="F31" i="9" s="1"/>
  <c r="BF14" i="2"/>
  <c r="U14" i="2"/>
  <c r="G34" i="3" s="1"/>
  <c r="F14" i="1"/>
  <c r="BK14" i="2"/>
  <c r="BD14" i="2"/>
  <c r="T11" i="2"/>
  <c r="L47" i="3"/>
  <c r="BB34" i="2"/>
  <c r="T14" i="2"/>
  <c r="BG14" i="2"/>
  <c r="C14" i="1"/>
  <c r="B8" i="9" s="1"/>
  <c r="D14" i="1"/>
  <c r="F8" i="9" s="1"/>
  <c r="V11" i="2"/>
  <c r="BJ11" i="2"/>
  <c r="N12" i="9"/>
  <c r="BK34" i="2"/>
  <c r="BB14" i="2"/>
  <c r="BE14" i="2"/>
  <c r="D34" i="3"/>
  <c r="J34" i="3" s="1"/>
  <c r="D35" i="1"/>
  <c r="F30" i="9" s="1"/>
  <c r="J59" i="3"/>
  <c r="BM11" i="2"/>
  <c r="BH11" i="2"/>
  <c r="L52" i="3"/>
  <c r="H36" i="3"/>
  <c r="P36" i="3" s="1"/>
  <c r="D23" i="1"/>
  <c r="F20" i="9" s="1"/>
  <c r="BL34" i="2"/>
  <c r="BC14" i="2"/>
  <c r="BJ14" i="2"/>
  <c r="P59" i="3"/>
  <c r="BC11" i="2"/>
  <c r="BD11" i="2"/>
  <c r="BI11" i="2"/>
  <c r="L35" i="3"/>
  <c r="Q35" i="3" s="1"/>
  <c r="M45" i="3"/>
  <c r="T34" i="2"/>
  <c r="N47" i="3"/>
  <c r="L37" i="3"/>
  <c r="AZ14" i="2"/>
  <c r="U11" i="2"/>
  <c r="G31" i="3" s="1"/>
  <c r="BE11" i="2"/>
  <c r="BQ11" i="2"/>
  <c r="M35" i="3"/>
  <c r="C35" i="1"/>
  <c r="B30" i="9" s="1"/>
  <c r="AZ34" i="2"/>
  <c r="E14" i="1"/>
  <c r="D28" i="1"/>
  <c r="F23" i="9" s="1"/>
  <c r="BA12" i="2"/>
  <c r="BG12" i="2"/>
  <c r="O30" i="3"/>
  <c r="B12" i="9"/>
  <c r="BL38" i="2"/>
  <c r="BF38" i="2"/>
  <c r="N52" i="3"/>
  <c r="J36" i="3"/>
  <c r="BI12" i="2"/>
  <c r="BE34" i="2"/>
  <c r="BH38" i="2"/>
  <c r="AZ38" i="2"/>
  <c r="BJ12" i="2"/>
  <c r="BE12" i="2"/>
  <c r="BM34" i="2"/>
  <c r="O45" i="3"/>
  <c r="BB23" i="2"/>
  <c r="BG23" i="2"/>
  <c r="F10" i="9"/>
  <c r="K45" i="3"/>
  <c r="U34" i="2"/>
  <c r="G54" i="3" s="1"/>
  <c r="C12" i="1"/>
  <c r="B6" i="9" s="1"/>
  <c r="T23" i="2"/>
  <c r="V23" i="2"/>
  <c r="J13" i="9"/>
  <c r="H30" i="3"/>
  <c r="N45" i="3"/>
  <c r="BB12" i="2"/>
  <c r="T26" i="2"/>
  <c r="BA34" i="2"/>
  <c r="BF23" i="2"/>
  <c r="BH23" i="2"/>
  <c r="C22" i="1"/>
  <c r="B19" i="9" s="1"/>
  <c r="BH12" i="2"/>
  <c r="BQ34" i="2"/>
  <c r="BJ34" i="2"/>
  <c r="D43" i="3"/>
  <c r="O43" i="3" s="1"/>
  <c r="AZ23" i="2"/>
  <c r="O47" i="3"/>
  <c r="D37" i="1"/>
  <c r="F32" i="9" s="1"/>
  <c r="C30" i="1"/>
  <c r="B25" i="9" s="1"/>
  <c r="L55" i="3"/>
  <c r="M59" i="3"/>
  <c r="J37" i="3"/>
  <c r="Q37" i="3" s="1"/>
  <c r="O59" i="3"/>
  <c r="D7" i="3"/>
  <c r="J52" i="3"/>
  <c r="BF12" i="2"/>
  <c r="BM26" i="2"/>
  <c r="BM23" i="2"/>
  <c r="BK23" i="2"/>
  <c r="C34" i="1"/>
  <c r="B29" i="9" s="1"/>
  <c r="C38" i="1"/>
  <c r="B33" i="9" s="1"/>
  <c r="C23" i="1"/>
  <c r="B20" i="9" s="1"/>
  <c r="K34" i="3"/>
  <c r="L34" i="3"/>
  <c r="O55" i="3"/>
  <c r="D15" i="1"/>
  <c r="D29" i="1" s="1"/>
  <c r="F24" i="9" s="1"/>
  <c r="C27" i="1"/>
  <c r="B22" i="9" s="1"/>
  <c r="V12" i="2"/>
  <c r="BM12" i="2"/>
  <c r="D33" i="1"/>
  <c r="F28" i="9" s="1"/>
  <c r="AZ12" i="2"/>
  <c r="C29" i="1"/>
  <c r="B24" i="9" s="1"/>
  <c r="BF34" i="2"/>
  <c r="BI34" i="2"/>
  <c r="J45" i="3"/>
  <c r="D22" i="1"/>
  <c r="F19" i="9" s="1"/>
  <c r="D27" i="1"/>
  <c r="F22" i="9" s="1"/>
  <c r="BH34" i="2"/>
  <c r="V34" i="2"/>
  <c r="BG34" i="2"/>
  <c r="M55" i="3"/>
  <c r="N13" i="9"/>
  <c r="BD34" i="2"/>
  <c r="BC34" i="2"/>
  <c r="F13" i="9"/>
  <c r="D38" i="1"/>
  <c r="F33" i="9" s="1"/>
  <c r="B14" i="9"/>
  <c r="AZ26" i="2"/>
  <c r="K55" i="3"/>
  <c r="C28" i="1"/>
  <c r="B23" i="9" s="1"/>
  <c r="E13" i="1"/>
  <c r="N8" i="9" s="1"/>
  <c r="BB26" i="2"/>
  <c r="BH26" i="2"/>
  <c r="D13" i="1"/>
  <c r="F7" i="9" s="1"/>
  <c r="BL26" i="2"/>
  <c r="E36" i="1" s="1"/>
  <c r="F36" i="1" s="1"/>
  <c r="N31" i="9" s="1"/>
  <c r="F11" i="9"/>
  <c r="C36" i="1"/>
  <c r="B31" i="9" s="1"/>
  <c r="BF26" i="2"/>
  <c r="L30" i="3"/>
  <c r="L45" i="3"/>
  <c r="BK26" i="2"/>
  <c r="J55" i="3"/>
  <c r="N55" i="3"/>
  <c r="B10" i="9"/>
  <c r="J8" i="9"/>
  <c r="BQ26" i="2"/>
  <c r="BC26" i="2"/>
  <c r="D46" i="3"/>
  <c r="M46" i="3" s="1"/>
  <c r="H55" i="3"/>
  <c r="P55" i="3" s="1"/>
  <c r="BA26" i="2"/>
  <c r="BD26" i="2"/>
  <c r="E12" i="1"/>
  <c r="F12" i="1" s="1"/>
  <c r="N6" i="9" s="1"/>
  <c r="J12" i="9"/>
  <c r="M30" i="3"/>
  <c r="E37" i="1"/>
  <c r="J32" i="9" s="1"/>
  <c r="V26" i="2"/>
  <c r="BE26" i="2"/>
  <c r="F14" i="9"/>
  <c r="F12" i="9"/>
  <c r="BJ26" i="2"/>
  <c r="BG26" i="2"/>
  <c r="D31" i="1"/>
  <c r="F26" i="9" s="1"/>
  <c r="BI26" i="2"/>
  <c r="K30" i="3"/>
  <c r="P30" i="3"/>
  <c r="Q38" i="3"/>
  <c r="J30" i="3"/>
  <c r="Q26" i="3"/>
  <c r="Q36" i="3"/>
  <c r="N43" i="3"/>
  <c r="H43" i="3"/>
  <c r="P43" i="3" s="1"/>
  <c r="K43" i="3"/>
  <c r="J43" i="3"/>
  <c r="Q48" i="3"/>
  <c r="P58" i="3"/>
  <c r="H58" i="3"/>
  <c r="O58" i="3"/>
  <c r="N58" i="3"/>
  <c r="M58" i="3"/>
  <c r="L58" i="3"/>
  <c r="K58" i="3"/>
  <c r="J58" i="3"/>
  <c r="Q41" i="3"/>
  <c r="Q56" i="3"/>
  <c r="Q63" i="3"/>
  <c r="Q40" i="3"/>
  <c r="Q42" i="3"/>
  <c r="Q50" i="3"/>
  <c r="E31" i="1"/>
  <c r="J26" i="9" s="1"/>
  <c r="Q27" i="3"/>
  <c r="P31" i="3"/>
  <c r="H31" i="3"/>
  <c r="K31" i="3"/>
  <c r="J31" i="3"/>
  <c r="O31" i="3"/>
  <c r="N31" i="3"/>
  <c r="M31" i="3"/>
  <c r="L31" i="3"/>
  <c r="D6" i="3"/>
  <c r="Q25" i="3"/>
  <c r="P32" i="3"/>
  <c r="H32" i="3"/>
  <c r="M32" i="3"/>
  <c r="L32" i="3"/>
  <c r="K32" i="3"/>
  <c r="J32" i="3"/>
  <c r="O32" i="3"/>
  <c r="N32" i="3"/>
  <c r="P54" i="3"/>
  <c r="H54" i="3"/>
  <c r="O54" i="3"/>
  <c r="N54" i="3"/>
  <c r="M54" i="3"/>
  <c r="L54" i="3"/>
  <c r="K54" i="3"/>
  <c r="J54" i="3"/>
  <c r="M34" i="3" l="1"/>
  <c r="F9" i="9"/>
  <c r="N34" i="3"/>
  <c r="O34" i="3"/>
  <c r="M57" i="3"/>
  <c r="K57" i="3"/>
  <c r="O57" i="3"/>
  <c r="H57" i="3"/>
  <c r="L57" i="3"/>
  <c r="P57" i="3"/>
  <c r="J57" i="3"/>
  <c r="N57" i="3"/>
  <c r="E28" i="1"/>
  <c r="F28" i="1" s="1"/>
  <c r="N23" i="9" s="1"/>
  <c r="E30" i="1"/>
  <c r="J25" i="9" s="1"/>
  <c r="J10" i="9"/>
  <c r="C24" i="1"/>
  <c r="Q39" i="3"/>
  <c r="F13" i="1"/>
  <c r="N7" i="9" s="1"/>
  <c r="H34" i="3"/>
  <c r="Q59" i="3"/>
  <c r="Q52" i="3"/>
  <c r="E22" i="1"/>
  <c r="J19" i="9" s="1"/>
  <c r="P34" i="3"/>
  <c r="Q44" i="3"/>
  <c r="Q47" i="3"/>
  <c r="L43" i="3"/>
  <c r="M43" i="3"/>
  <c r="D14" i="3" s="1"/>
  <c r="F32" i="1" s="1"/>
  <c r="N27" i="9" s="1"/>
  <c r="E32" i="1"/>
  <c r="J27" i="9" s="1"/>
  <c r="J14" i="9"/>
  <c r="O46" i="3"/>
  <c r="E38" i="1"/>
  <c r="J33" i="9" s="1"/>
  <c r="D24" i="1"/>
  <c r="F21" i="9" s="1"/>
  <c r="E33" i="1"/>
  <c r="J28" i="9" s="1"/>
  <c r="N14" i="9"/>
  <c r="N10" i="9"/>
  <c r="J11" i="9"/>
  <c r="E35" i="1"/>
  <c r="J30" i="9" s="1"/>
  <c r="E34" i="1"/>
  <c r="J29" i="9" s="1"/>
  <c r="J7" i="9"/>
  <c r="D8" i="3"/>
  <c r="E23" i="1"/>
  <c r="N11" i="9"/>
  <c r="Q45" i="3"/>
  <c r="L46" i="3"/>
  <c r="E27" i="1"/>
  <c r="J22" i="9" s="1"/>
  <c r="J46" i="3"/>
  <c r="K46" i="3"/>
  <c r="D12" i="3" s="1"/>
  <c r="F30" i="1" s="1"/>
  <c r="N25" i="9" s="1"/>
  <c r="C39" i="1"/>
  <c r="B34" i="9" s="1"/>
  <c r="Q55" i="3"/>
  <c r="N46" i="3"/>
  <c r="D15" i="3" s="1"/>
  <c r="H46" i="3"/>
  <c r="P46" i="3" s="1"/>
  <c r="D17" i="3" s="1"/>
  <c r="F37" i="1" s="1"/>
  <c r="N32" i="9" s="1"/>
  <c r="J23" i="9"/>
  <c r="J6" i="9"/>
  <c r="Q30" i="3"/>
  <c r="F29" i="1"/>
  <c r="N24" i="9" s="1"/>
  <c r="E15" i="1"/>
  <c r="J31" i="9"/>
  <c r="Q54" i="3"/>
  <c r="D16" i="3"/>
  <c r="F33" i="1" s="1"/>
  <c r="N28" i="9" s="1"/>
  <c r="F22" i="1"/>
  <c r="D39" i="1"/>
  <c r="F34" i="9" s="1"/>
  <c r="Q32" i="3"/>
  <c r="Q31" i="3"/>
  <c r="Q58" i="3"/>
  <c r="B21" i="9"/>
  <c r="Q34" i="3" l="1"/>
  <c r="D11" i="3"/>
  <c r="Q57" i="3"/>
  <c r="Q43" i="3"/>
  <c r="E24" i="1"/>
  <c r="J21" i="9" s="1"/>
  <c r="D13" i="3"/>
  <c r="D18" i="3" s="1"/>
  <c r="F34" i="1"/>
  <c r="N29" i="9" s="1"/>
  <c r="C42" i="1"/>
  <c r="B35" i="9" s="1"/>
  <c r="F38" i="1"/>
  <c r="N33" i="9" s="1"/>
  <c r="F35" i="1"/>
  <c r="N30" i="9" s="1"/>
  <c r="F23" i="1"/>
  <c r="N20" i="9" s="1"/>
  <c r="J20" i="9"/>
  <c r="Q46" i="3"/>
  <c r="F27" i="1"/>
  <c r="N22" i="9" s="1"/>
  <c r="B6" i="1"/>
  <c r="N19" i="9"/>
  <c r="J9" i="9"/>
  <c r="E29" i="1"/>
  <c r="D42" i="1"/>
  <c r="K26" i="1"/>
  <c r="D21" i="3" l="1"/>
  <c r="C43" i="1"/>
  <c r="B36" i="9" s="1"/>
  <c r="D44" i="1"/>
  <c r="F37" i="9" s="1"/>
  <c r="F24" i="1"/>
  <c r="K27" i="1"/>
  <c r="D43" i="1"/>
  <c r="F36" i="9" s="1"/>
  <c r="F35" i="9"/>
  <c r="J24" i="9"/>
  <c r="E39" i="1"/>
  <c r="D19" i="3"/>
  <c r="F31" i="1" s="1"/>
  <c r="N21" i="9" l="1"/>
  <c r="E6" i="1"/>
  <c r="J34" i="9"/>
  <c r="E42" i="1"/>
  <c r="N26" i="9"/>
  <c r="F39" i="1"/>
  <c r="D20" i="3"/>
  <c r="J35" i="9" l="1"/>
  <c r="E44" i="1"/>
  <c r="J37" i="9" s="1"/>
  <c r="E43" i="1"/>
  <c r="J36" i="9" s="1"/>
  <c r="K28" i="1"/>
  <c r="N34" i="9"/>
  <c r="F42" i="1"/>
  <c r="N35" i="9" l="1"/>
  <c r="F43" i="1"/>
  <c r="K29" i="1"/>
  <c r="F44" i="1"/>
  <c r="N37" i="9" s="1"/>
  <c r="H6" i="1"/>
  <c r="H11" i="1"/>
  <c r="N36" i="9" l="1"/>
  <c r="K6" i="1"/>
</calcChain>
</file>

<file path=xl/sharedStrings.xml><?xml version="1.0" encoding="utf-8"?>
<sst xmlns="http://schemas.openxmlformats.org/spreadsheetml/2006/main" count="991" uniqueCount="522">
  <si>
    <t>"FBO", "FBS", "Гибрид", "Гибрид с Fulllog (3PL)" - Итоговая экономика</t>
  </si>
  <si>
    <t>Выручка: Гибрид с Fulllog (3PL)</t>
  </si>
  <si>
    <t>Валовая прибыль: Гибрид с Fulllog (3PL)</t>
  </si>
  <si>
    <t>Операционная прибыль: Гибрид с Fulllog (3PL)</t>
  </si>
  <si>
    <t>Операционная маржа: Гибрид с Fulllog (3PL)</t>
  </si>
  <si>
    <t>КОНФИГУРАЦИЯ СЦЕНАРИЕВ</t>
  </si>
  <si>
    <t>Рекомендация</t>
  </si>
  <si>
    <t>Показатель</t>
  </si>
  <si>
    <t>FBO</t>
  </si>
  <si>
    <t>FBS</t>
  </si>
  <si>
    <t>Гибрид</t>
  </si>
  <si>
    <t>Гибрид с Fulllog (3PL)</t>
  </si>
  <si>
    <t>SKU → FBO, шт.</t>
  </si>
  <si>
    <t>SKU → FBS, шт.</t>
  </si>
  <si>
    <t>При текущих тарифах передача FBS-операций Fulllog экономически выгоднее, чем самостоятельное создание и обслуживание полного FBS-контура Sportmaster</t>
  </si>
  <si>
    <t>SKU → Пауза, шт.</t>
  </si>
  <si>
    <t>Рейсы собственного FBS → Ozon, раз/мес.</t>
  </si>
  <si>
    <t>SLA FBS: передано ≤24 ч, %</t>
  </si>
  <si>
    <t>SM-0020 и SM-0037 формируют отрицательный денежный эффект независимо от схемы исполнения — рекомендуем вывести их из активных продаж до пересмотра цены, спроса или себестоимости.</t>
  </si>
  <si>
    <t>P&amp;L ПО СЦЕНАРИЯМ</t>
  </si>
  <si>
    <t>ДОХОДЫ И СЕБЕСТОИМОСТЬ</t>
  </si>
  <si>
    <t>Статья</t>
  </si>
  <si>
    <t>Выручка</t>
  </si>
  <si>
    <t>Себестоимость выкупов</t>
  </si>
  <si>
    <t>Валовая прибыль</t>
  </si>
  <si>
    <t>ОПЕРАЦИОННЫЕ РАСХОДЫ</t>
  </si>
  <si>
    <t>Сценарий</t>
  </si>
  <si>
    <t>Операционная прибыль</t>
  </si>
  <si>
    <t>Комиссия Ozon</t>
  </si>
  <si>
    <t>Эквайринг</t>
  </si>
  <si>
    <t>Первая миля до первой внешней точки</t>
  </si>
  <si>
    <t>Гибрид с Fulllog</t>
  </si>
  <si>
    <t>Хранение</t>
  </si>
  <si>
    <t>Сборка / подбор</t>
  </si>
  <si>
    <t>Упаковка</t>
  </si>
  <si>
    <t>Передача FBS-заказов в Ozon</t>
  </si>
  <si>
    <t>Прямая логистика Ozon</t>
  </si>
  <si>
    <t>Последняя миля Ozon</t>
  </si>
  <si>
    <t>Возвратная логистика Ozon</t>
  </si>
  <si>
    <t>Обработка возвратов</t>
  </si>
  <si>
    <t>Штрафы, списания и прочее</t>
  </si>
  <si>
    <t>Итого операционные расходы</t>
  </si>
  <si>
    <t>ФИНАНСОВЫЙ РЕЗУЛЬТАТ</t>
  </si>
  <si>
    <t>Операционная маржа</t>
  </si>
  <si>
    <t>Разница к FBO</t>
  </si>
  <si>
    <t>Расчёт экономики по SKU</t>
  </si>
  <si>
    <t>Источник</t>
  </si>
  <si>
    <t>Артикул</t>
  </si>
  <si>
    <t>Товар</t>
  </si>
  <si>
    <t>Категория</t>
  </si>
  <si>
    <t>Текущая схема</t>
  </si>
  <si>
    <t>Выкупы в модели</t>
  </si>
  <si>
    <t>Цена</t>
  </si>
  <si>
    <t>Себестоимость</t>
  </si>
  <si>
    <t>Объём, л</t>
  </si>
  <si>
    <t>Возвраты</t>
  </si>
  <si>
    <t>Оборачиваемость, дн.</t>
  </si>
  <si>
    <t>Комиссия FBO</t>
  </si>
  <si>
    <t>Комиссия FBS</t>
  </si>
  <si>
    <t>Прибыль FBO без первой мили</t>
  </si>
  <si>
    <t>Прибыль FBS без первой мили</t>
  </si>
  <si>
    <t>Ручной выбор</t>
  </si>
  <si>
    <t>Схема в гибриде</t>
  </si>
  <si>
    <t>Прибыль выбранной схемы</t>
  </si>
  <si>
    <t>Отправления FBS</t>
  </si>
  <si>
    <t>Объём FBS, м³</t>
  </si>
  <si>
    <t>FBO: отправления</t>
  </si>
  <si>
    <t>FBO: возвраты</t>
  </si>
  <si>
    <t>FBO: выручка</t>
  </si>
  <si>
    <t>FBO: COGS</t>
  </si>
  <si>
    <t>FBO: комиссия</t>
  </si>
  <si>
    <t>FBO: эквайринг</t>
  </si>
  <si>
    <t>FBO: прямая логистика</t>
  </si>
  <si>
    <t>FBO: последняя миля</t>
  </si>
  <si>
    <t>FBO: хранение</t>
  </si>
  <si>
    <t>FBO: входящая логистика</t>
  </si>
  <si>
    <t>FBO: возвратная логистика</t>
  </si>
  <si>
    <t>FBS: заказы</t>
  </si>
  <si>
    <t>FBS: отмены</t>
  </si>
  <si>
    <t>FBS: отправления</t>
  </si>
  <si>
    <t>FBS: возвраты</t>
  </si>
  <si>
    <t>FBS: выкупы</t>
  </si>
  <si>
    <t>FBS: выручка</t>
  </si>
  <si>
    <t>FBS: COGS</t>
  </si>
  <si>
    <t>FBS: комиссия</t>
  </si>
  <si>
    <t>FBS: эквайринг</t>
  </si>
  <si>
    <t>FBS: прямая логистика</t>
  </si>
  <si>
    <t>FBS: последняя миля</t>
  </si>
  <si>
    <t>FBS: хранение</t>
  </si>
  <si>
    <t>FBS: сборка и упаковка</t>
  </si>
  <si>
    <t>FBS: drop-off</t>
  </si>
  <si>
    <t>FBS: расходы возвратов</t>
  </si>
  <si>
    <t>FBS: штрафы</t>
  </si>
  <si>
    <t>FBS: объём, м³</t>
  </si>
  <si>
    <t>Гибрид: выкупы</t>
  </si>
  <si>
    <t>Гибрид: отправления</t>
  </si>
  <si>
    <t>Гибрид: выручка</t>
  </si>
  <si>
    <t>Гибрид: COGS</t>
  </si>
  <si>
    <t>Гибрид: комиссия</t>
  </si>
  <si>
    <t>Гибрид: эквайринг</t>
  </si>
  <si>
    <t>Гибрид: прямая логистика</t>
  </si>
  <si>
    <t>Гибрид: последняя миля</t>
  </si>
  <si>
    <t>Гибрид: хранение</t>
  </si>
  <si>
    <t>Гибрид: входящая FBO</t>
  </si>
  <si>
    <t>Гибрид: сборка и упаковка</t>
  </si>
  <si>
    <t>Гибрид: drop-off</t>
  </si>
  <si>
    <t>Гибрид: расходы возвратов</t>
  </si>
  <si>
    <t>Гибрид: штрафы</t>
  </si>
  <si>
    <t>FBO: списания возвратов</t>
  </si>
  <si>
    <t>FBO: нормативный запас, шт.</t>
  </si>
  <si>
    <t>FBS: нормативный запас, шт.</t>
  </si>
  <si>
    <t>Гибрид: нормативный запас, шт.</t>
  </si>
  <si>
    <t>Авто</t>
  </si>
  <si>
    <t>ПАРАМЕТРЫ И СПРАВОЧНИКИ МОДЕЛИ</t>
  </si>
  <si>
    <t>Параметр модели</t>
  </si>
  <si>
    <t>Значение</t>
  </si>
  <si>
    <t>Единица</t>
  </si>
  <si>
    <t>Источник / основание</t>
  </si>
  <si>
    <t>Модельный месяц и дней отгрузки</t>
  </si>
  <si>
    <t>дней</t>
  </si>
  <si>
    <t>Равномерный месячный поток</t>
  </si>
  <si>
    <t>Спрос FBS относительно базы</t>
  </si>
  <si>
    <t>множитель</t>
  </si>
  <si>
    <t>Нейтральная база</t>
  </si>
  <si>
    <t>Нарушение SLA FBS → отмена продавцом</t>
  </si>
  <si>
    <t>доля заказов</t>
  </si>
  <si>
    <t>Рабочее допущение: 90% заказов передаются ≤24 ч; редактируемый sensitivity</t>
  </si>
  <si>
    <t>Поправка к возвратам FBS</t>
  </si>
  <si>
    <t>доля</t>
  </si>
  <si>
    <t>Выполнение прогноза новых SKU</t>
  </si>
  <si>
    <t>Оборачиваемость новых SKU</t>
  </si>
  <si>
    <t>Множитель запаса собственного склада</t>
  </si>
  <si>
    <t>Та же оборачиваемость</t>
  </si>
  <si>
    <t>Потеря невосстановимых возвратов</t>
  </si>
  <si>
    <t>доля себестоимости</t>
  </si>
  <si>
    <t>15% возвратов списываются полностью</t>
  </si>
  <si>
    <t>Обувь</t>
  </si>
  <si>
    <t>Одежда</t>
  </si>
  <si>
    <t>Фитнес</t>
  </si>
  <si>
    <t>Туризм</t>
  </si>
  <si>
    <t>Крупногабарит</t>
  </si>
  <si>
    <t>Аксессуары</t>
  </si>
  <si>
    <t>Параметр рейса</t>
  </si>
  <si>
    <t>Вместимость по отправлениям</t>
  </si>
  <si>
    <t>шт.</t>
  </si>
  <si>
    <t>Вместимость по объёму</t>
  </si>
  <si>
    <t>м³</t>
  </si>
  <si>
    <t>Хранение КГТ на FBO</t>
  </si>
  <si>
    <t>руб./л/день</t>
  </si>
  <si>
    <t>Fulllog 3PL — тарифы и расчёт услуг</t>
  </si>
  <si>
    <t>Поток и ввод скидки</t>
  </si>
  <si>
    <t>Тарифы Fulllog</t>
  </si>
  <si>
    <t>Параметры</t>
  </si>
  <si>
    <t>Скидка Fulllog — ВВОД</t>
  </si>
  <si>
    <t>Услуга</t>
  </si>
  <si>
    <t>Ставка</t>
  </si>
  <si>
    <t>Параметр</t>
  </si>
  <si>
    <t>FBS-отправления, шт.</t>
  </si>
  <si>
    <t>Приёмка</t>
  </si>
  <si>
    <t>₽/шт.</t>
  </si>
  <si>
    <t>Коэффициент складского объёма</t>
  </si>
  <si>
    <t>коэффициент</t>
  </si>
  <si>
    <t>Допущение модели</t>
  </si>
  <si>
    <t>FBS-возвраты, шт.</t>
  </si>
  <si>
    <t>Подбор заказа</t>
  </si>
  <si>
    <t>Первая миля SM → Fulllog</t>
  </si>
  <si>
    <t>₽/л</t>
  </si>
  <si>
    <t>Допущение до КП</t>
  </si>
  <si>
    <t>Объём отправлений, м³</t>
  </si>
  <si>
    <t>Нанесение штрихкода</t>
  </si>
  <si>
    <t>Доставка FBS до Ozon</t>
  </si>
  <si>
    <t>Стоимость услуг с введённой скидкой</t>
  </si>
  <si>
    <t>₽/м³/день</t>
  </si>
  <si>
    <t>Возврат / невыкуп</t>
  </si>
  <si>
    <t>Минимальный чек</t>
  </si>
  <si>
    <t>₽/мес.</t>
  </si>
  <si>
    <t>Подбор</t>
  </si>
  <si>
    <t>POF-упаковка</t>
  </si>
  <si>
    <t>Сумма сторон до, см</t>
  </si>
  <si>
    <t>Передача заказов в Ozon</t>
  </si>
  <si>
    <t>Услуги до минимального чека</t>
  </si>
  <si>
    <t>Доплата до минимального чека</t>
  </si>
  <si>
    <t>Итого услуги Fulllog</t>
  </si>
  <si>
    <t>База услуг до скидки</t>
  </si>
  <si>
    <t>&gt;150</t>
  </si>
  <si>
    <t>₽/шт., допущение</t>
  </si>
  <si>
    <t>TBD</t>
  </si>
  <si>
    <t>Схема</t>
  </si>
  <si>
    <t>Сумма сторон, см</t>
  </si>
  <si>
    <t>Объём, м³</t>
  </si>
  <si>
    <t>FBS-отправления</t>
  </si>
  <si>
    <t>FBS-возвраты</t>
  </si>
  <si>
    <t>Дни хранения</t>
  </si>
  <si>
    <t>Приёмка, ₽</t>
  </si>
  <si>
    <t>Хранение, ₽</t>
  </si>
  <si>
    <t>Подбор, ₽</t>
  </si>
  <si>
    <t>Упаковка, ₽</t>
  </si>
  <si>
    <t>Штрихкод, ₽</t>
  </si>
  <si>
    <t>Fulllog → Ozon, ₽</t>
  </si>
  <si>
    <t>Возвраты: обработка, ₽</t>
  </si>
  <si>
    <t>Услуги до скидки, ₽</t>
  </si>
  <si>
    <t>Data pack к тестовому заданию «Запуск схемы FBS на Ozon»</t>
  </si>
  <si>
    <t>Назначение файла</t>
  </si>
  <si>
    <t>Файл содержит единые вводные для всех кандидатов: ассортимент (лист «SKU»), тарифы маркетплейса (лист «Тарифы») и операционные затраты продавца (лист «Затраты продавца»). Все расчёты в вашем Excel-файле должны опираться на эти данные.</t>
  </si>
  <si>
    <t>Правила использования</t>
  </si>
  <si>
    <t>1.</t>
  </si>
  <si>
    <t>Тарифы в файле — УСЛОВНЫЕ. Они приближены к публичной логике тарификации Ozon, но зафиксированы для сопоставимости работ. Используйте их, а не актуальные тарифы с сайта.</t>
  </si>
  <si>
    <t>2.</t>
  </si>
  <si>
    <t>Документацию (база знаний Ozon для продавцов, Ozon Seller API) используйте реальную и актуальную — со ссылками на конкретные разделы и методы.</t>
  </si>
  <si>
    <t>3.</t>
  </si>
  <si>
    <t>Все недостающие данные закрывайте допущениями и фиксируйте их на листе «Допущения» (или на аналогичном листе вашей модели).</t>
  </si>
  <si>
    <t>4.</t>
  </si>
  <si>
    <t>Итоговые цифры в модели должны считаться формулами: при изменении входного параметра (например, комиссии) результат должен пересчитываться. Модель должна быть аккуратной и читаемой.</t>
  </si>
  <si>
    <t>5.</t>
  </si>
  <si>
    <t>Колонка «Продажи, шт/мес» для товаров со схемой «не представлен» — это прогноз категорийного менеджера, а не факт.</t>
  </si>
  <si>
    <t>Что можно упрощать</t>
  </si>
  <si>
    <t>Налоги, индекс локализации, программы лояльности и рекламные расходы в модели можно не учитывать. Сезонность достаточно учесть на уровне комментария/допущения.</t>
  </si>
  <si>
    <t>Ключевые листы кандидата</t>
  </si>
  <si>
    <t>Сценарный анализ</t>
  </si>
  <si>
    <t>Отдельный reviewer-view: физические количества и стандартный P&amp;L по FBO / FBS / Hybrid / Hybrid с Fulllog.</t>
  </si>
  <si>
    <t>SLA sensitivity</t>
  </si>
  <si>
    <t>Модель!C50 — доля FBS-заказов, нарушивших SLA ≤24ч и отменённых продавцом. База 10%, параметр редактируемый.</t>
  </si>
  <si>
    <t>Fulllog</t>
  </si>
  <si>
    <t>Публичные тарифы — рабочая оценка, а не коммерческое подтверждение. Перед GO требуется КП и SLA.</t>
  </si>
  <si>
    <t>Наименование</t>
  </si>
  <si>
    <t>Цена на МП, руб.</t>
  </si>
  <si>
    <t>Себестоимость, руб.</t>
  </si>
  <si>
    <t>Длина, см</t>
  </si>
  <si>
    <t>Ширина, см</t>
  </si>
  <si>
    <t>Высота, см</t>
  </si>
  <si>
    <t>Вес, кг</t>
  </si>
  <si>
    <t>Продажи, шт./мес.</t>
  </si>
  <si>
    <t>Оборач-ть FBO, дн.</t>
  </si>
  <si>
    <t>Возвраты, %</t>
  </si>
  <si>
    <t>Остаток на своём складе, шт.</t>
  </si>
  <si>
    <t>Комментарий</t>
  </si>
  <si>
    <t>SM-0001</t>
  </si>
  <si>
    <t>Кроссовки беговые мужские</t>
  </si>
  <si>
    <t>SM-0002</t>
  </si>
  <si>
    <t>Кроссовки трейловые</t>
  </si>
  <si>
    <t>SM-0003</t>
  </si>
  <si>
    <t>Кеды классические</t>
  </si>
  <si>
    <t>SM-0004</t>
  </si>
  <si>
    <t>Ботинки треккинговые</t>
  </si>
  <si>
    <t>SM-0005</t>
  </si>
  <si>
    <t>Сланцы пляжные</t>
  </si>
  <si>
    <t>сезонный товар (весна-лето)</t>
  </si>
  <si>
    <t>SM-0006</t>
  </si>
  <si>
    <t>Футболка тренировочная</t>
  </si>
  <si>
    <t>SM-0007</t>
  </si>
  <si>
    <t>Шорты беговые</t>
  </si>
  <si>
    <t>SM-0008</t>
  </si>
  <si>
    <t>Ветровка для бега</t>
  </si>
  <si>
    <t>SM-0009</t>
  </si>
  <si>
    <t>Куртка зимняя утеплённая</t>
  </si>
  <si>
    <t>сезонный товар (осень-зима), сток вне сезона</t>
  </si>
  <si>
    <t>SM-0010</t>
  </si>
  <si>
    <t>Леггинсы женские</t>
  </si>
  <si>
    <t>SM-0011</t>
  </si>
  <si>
    <t>Гантели разборные 2×10 кг</t>
  </si>
  <si>
    <t>SM-0012</t>
  </si>
  <si>
    <t>Гиря чугунная 16 кг</t>
  </si>
  <si>
    <t>SM-0013</t>
  </si>
  <si>
    <t>Коврик для йоги 6 мм</t>
  </si>
  <si>
    <t>SM-0014</t>
  </si>
  <si>
    <t>Набор эспандеров</t>
  </si>
  <si>
    <t>SM-0015</t>
  </si>
  <si>
    <t>Скакалка скоростная</t>
  </si>
  <si>
    <t>SM-0016</t>
  </si>
  <si>
    <t>Палатка 2-местная</t>
  </si>
  <si>
    <t>SM-0017</t>
  </si>
  <si>
    <t>Палатка 4-местная</t>
  </si>
  <si>
    <t>SM-0018</t>
  </si>
  <si>
    <t>Спальный мешок −5 °C</t>
  </si>
  <si>
    <t>SM-0019</t>
  </si>
  <si>
    <t>Рюкзак туристический 60 л</t>
  </si>
  <si>
    <t>SM-0020</t>
  </si>
  <si>
    <t>Коврик туристический пенный</t>
  </si>
  <si>
    <t>SM-0021</t>
  </si>
  <si>
    <t>Велотренажёр магнитный</t>
  </si>
  <si>
    <t>не представлен</t>
  </si>
  <si>
    <t>n/a</t>
  </si>
  <si>
    <t>оценка КМ, листинга на Ozon нет</t>
  </si>
  <si>
    <t>SM-0022</t>
  </si>
  <si>
    <t>Беговая дорожка складная</t>
  </si>
  <si>
    <t>SM-0023</t>
  </si>
  <si>
    <t>Батут каркасный 305 см</t>
  </si>
  <si>
    <t>оценка КМ, сезонный (весна-лето)</t>
  </si>
  <si>
    <t>SM-0024</t>
  </si>
  <si>
    <t>SUP-доска надувная</t>
  </si>
  <si>
    <t>SM-0025</t>
  </si>
  <si>
    <t>Каяк надувной 2-местный</t>
  </si>
  <si>
    <t>SM-0026</t>
  </si>
  <si>
    <t>Стол теннисный складной</t>
  </si>
  <si>
    <t>оценка КМ</t>
  </si>
  <si>
    <t>SM-0027</t>
  </si>
  <si>
    <t>Шведская стенка деревянная</t>
  </si>
  <si>
    <t>SM-0028</t>
  </si>
  <si>
    <t>Ласты тренировочные</t>
  </si>
  <si>
    <t>SM-0029</t>
  </si>
  <si>
    <t>Очки для плавания стартовые</t>
  </si>
  <si>
    <t>SM-0030</t>
  </si>
  <si>
    <t>Перчатки боксёрские 14 oz</t>
  </si>
  <si>
    <t>SM-0031</t>
  </si>
  <si>
    <t>Шлем горнолыжный</t>
  </si>
  <si>
    <t>оценка КМ, сезонный (осень-зима)</t>
  </si>
  <si>
    <t>SM-0032</t>
  </si>
  <si>
    <t>Крепления для сноуборда</t>
  </si>
  <si>
    <t>SM-0033</t>
  </si>
  <si>
    <t>Бутылка спортивная 0,7 л</t>
  </si>
  <si>
    <t>SM-0034</t>
  </si>
  <si>
    <t>Носки спортивные (3 пары)</t>
  </si>
  <si>
    <t>SM-0035</t>
  </si>
  <si>
    <t>Перчатки для фитнеса</t>
  </si>
  <si>
    <t>SM-0036</t>
  </si>
  <si>
    <t>Рюкзак городской 22 л</t>
  </si>
  <si>
    <t>SM-0037</t>
  </si>
  <si>
    <t>Сумка спортивная 45 л</t>
  </si>
  <si>
    <t>SM-0038</t>
  </si>
  <si>
    <t>Мяч футбольный (без накачки)</t>
  </si>
  <si>
    <t>SM-0039</t>
  </si>
  <si>
    <t>Мяч баскетбольный</t>
  </si>
  <si>
    <t>SM-0040</t>
  </si>
  <si>
    <t>Ролики раздвижные р. 38–41</t>
  </si>
  <si>
    <t>Примечание: «Продажи, шт/мес» для схемы «не представлен» — прогноз категорийного менеджера. Возвраты, % — доля заказов, возвращаемых покупателем.</t>
  </si>
  <si>
    <t>Тарифы маркетплейса (УСЛОВНЫЕ, зафиксированы для сопоставимости работ)</t>
  </si>
  <si>
    <t>Ед. изм.</t>
  </si>
  <si>
    <t>Комиссия за продажу, % от цены (FBO / FBS)</t>
  </si>
  <si>
    <t>Комиссия FBO — Обувь</t>
  </si>
  <si>
    <t>% от цены</t>
  </si>
  <si>
    <t>Комиссия FBS — Обувь</t>
  </si>
  <si>
    <t>Комиссия FBO — Одежда</t>
  </si>
  <si>
    <t>Комиссия FBS — Одежда</t>
  </si>
  <si>
    <t>Комиссия FBO — Фитнес</t>
  </si>
  <si>
    <t>Комиссия FBS — Фитнес</t>
  </si>
  <si>
    <t>Комиссия FBO — Туризм</t>
  </si>
  <si>
    <t>Комиссия FBS — Туризм</t>
  </si>
  <si>
    <t>Комиссия FBO — Крупногабарит</t>
  </si>
  <si>
    <t>Комиссия FBS — Крупногабарит</t>
  </si>
  <si>
    <t>Комиссия FBO — Аксессуары</t>
  </si>
  <si>
    <t>Комиссия FBS — Аксессуары</t>
  </si>
  <si>
    <t>Логистика и обработка — FBO</t>
  </si>
  <si>
    <t>Логистика FBO: базовая ставка (до 5 л)</t>
  </si>
  <si>
    <t>руб./отправл.</t>
  </si>
  <si>
    <t>За отправление объёмом до 5 л включительно</t>
  </si>
  <si>
    <t>Логистика FBO: доплата за каждый литр свыше 5 л</t>
  </si>
  <si>
    <t>руб./л</t>
  </si>
  <si>
    <t>Последняя миля</t>
  </si>
  <si>
    <t>Хранение на складе FBO</t>
  </si>
  <si>
    <t>руб./л/сутки</t>
  </si>
  <si>
    <t>Категория «Крупногабарит» — 0,50 руб/л/сутки</t>
  </si>
  <si>
    <t>Обратная логистика возврата FBO</t>
  </si>
  <si>
    <t>× Логистика FBO</t>
  </si>
  <si>
    <t>Равна прямой; последняя миля при возврате не взимается</t>
  </si>
  <si>
    <t>Логистика и обработка — FBS</t>
  </si>
  <si>
    <t>Обработка отправления в пункте приёма (drop-off)</t>
  </si>
  <si>
    <t>Логистика FBS: базовая ставка (до 5 л)</t>
  </si>
  <si>
    <t>Логистика FBS: доплата за каждый литр свыше 5 л</t>
  </si>
  <si>
    <t>Обратная логистика возврата FBS</t>
  </si>
  <si>
    <t>× логистика FBS</t>
  </si>
  <si>
    <t>Равна прямой; последняя миля и тариф за drop-off не взимаются</t>
  </si>
  <si>
    <t>Штраф за отмену по вине продавца</t>
  </si>
  <si>
    <t>Условно; дополнительно — влияние на рейтинг продавца</t>
  </si>
  <si>
    <t>SLA сборки и передачи отправления FBS</t>
  </si>
  <si>
    <t>часа</t>
  </si>
  <si>
    <t>С момента поступления заказа; просрочка ведёт к отмене</t>
  </si>
  <si>
    <t>Общие условия</t>
  </si>
  <si>
    <t>Применяется в обеих схемах</t>
  </si>
  <si>
    <t>Индекс локализации, реклама, программы лояльности</t>
  </si>
  <si>
    <t>не учитывать</t>
  </si>
  <si>
    <t>Сознательное упрощение модели</t>
  </si>
  <si>
    <t>Операционные затраты продавца (собственный контур)</t>
  </si>
  <si>
    <t>Собственный склад и сборка (для FBS)</t>
  </si>
  <si>
    <t>Хранение на собственном складе</t>
  </si>
  <si>
    <t>Учётная ставка: аренда + обслуживание</t>
  </si>
  <si>
    <t>Сборка отправления FBS (труд)</t>
  </si>
  <si>
    <t>Упаковочные материалы</t>
  </si>
  <si>
    <t>Рейс до пункта приёма Ozon</t>
  </si>
  <si>
    <t>руб./рейс</t>
  </si>
  <si>
    <t>Вместимость рейса: до 250 отправлений или до 6 м³ (что наступит раньше). Плановая частота — ежедневно</t>
  </si>
  <si>
    <t>Обработка возврата на своём складе (приёмка, проверка)</t>
  </si>
  <si>
    <t>руб./шт</t>
  </si>
  <si>
    <t>Доля возвратов, возвращаемая в продажу</t>
  </si>
  <si>
    <t>%</t>
  </si>
  <si>
    <t>Остальное — уценка −50% к себестоимости или списание</t>
  </si>
  <si>
    <t>Поставки на склад FBO</t>
  </si>
  <si>
    <t>Входящая логистика до склада Ozon (амортизированно)</t>
  </si>
  <si>
    <t>Транспорт + обработка поставки, в расчёте на литр поставленного товара</t>
  </si>
  <si>
    <t>Журнал допущений кандидата</t>
  </si>
  <si>
    <t>№</t>
  </si>
  <si>
    <t>Блок</t>
  </si>
  <si>
    <t>Допущение</t>
  </si>
  <si>
    <t>Обоснование / источник</t>
  </si>
  <si>
    <t>Экономика</t>
  </si>
  <si>
    <t>«Продажи, шт./мес.» считаются выкупленными товарами. Физические количества округляются вверх: отправления = ROUNDUP(выкупы / (1 − доля возвратов)); возвраты = отправления − выкупы.</t>
  </si>
  <si>
    <t>Согласованная трактовка data pack; физически дробных отправлений/возвратов не бывает.</t>
  </si>
  <si>
    <t>Спрос</t>
  </si>
  <si>
    <t>В базовом сценарии спрос FBS равен спросу из дата-пака.</t>
  </si>
  <si>
    <t>Фактическую эластичность к сроку доставки проверяем отдельно</t>
  </si>
  <si>
    <t>Отмены</t>
  </si>
  <si>
    <t>В базовом сценарии 10% FBS-заказов считаются нарушившими SLA ≤24 ч и отменёнными продавцом. Они не становятся отправлениями/выкупами; на каждую отмену начисляется штраф 150 ₽.</t>
  </si>
  <si>
    <t>Рабочий sensitivity после senior-review; редактируется в Модель!C50. Финальный target пилота должен быть подтверждён операциями.</t>
  </si>
  <si>
    <t>Новые SKU</t>
  </si>
  <si>
    <t>Прогноз продаж новых SKU выполняется на 100%.</t>
  </si>
  <si>
    <t>Прогноз категорийного менеджера из исходного файла</t>
  </si>
  <si>
    <t>Оборачиваемость</t>
  </si>
  <si>
    <t>Для новых SKU используется средняя оборачиваемость действующих FBO-товаров.</t>
  </si>
  <si>
    <t>В исходных данных нет фактической оборачиваемости новых SKU. Допущение оставить до появления данных пилота.</t>
  </si>
  <si>
    <t>Возвраты: единое правило</t>
  </si>
  <si>
    <t>15% возвратов списываются по полной себестоимости во всех схемах; годные 85% возвращаются в оборот.</t>
  </si>
  <si>
    <t>Затраты продавца B10 и Модель C55; применяется и к FBO.</t>
  </si>
  <si>
    <t>Для собственного склада используется та же оборачиваемость, что и для FBO.</t>
  </si>
  <si>
    <t>Отдельный прогноз запаса собственного склада отсутствует</t>
  </si>
  <si>
    <t>Рейсы</t>
  </si>
  <si>
    <t>Месяц — 30 дней, передача ежедневная; рейсы определяет более жёсткий лимит: 250 отправлений или 6 м³.</t>
  </si>
  <si>
    <t>Параметры вместимости из листа «Затраты продавца»</t>
  </si>
  <si>
    <t>Первая миля</t>
  </si>
  <si>
    <t>FBO: объём поставки × 2,5 ₽/л. Собственный FBS: число рейсов × 2 500 ₽/рейс. Hybrid: FBO-часть по объёму + общие FBS-рейсы. Hybrid с Fulllog: FBO-часть по data pack + FBS-поток Sportmaster → Fulllog по отдельному допущению.</t>
  </si>
  <si>
    <t>Data pack: «Затраты продавца» B8 и B12. Для SM → Fulllog используется отдельное допущение до коммерческого предложения.</t>
  </si>
  <si>
    <t>Для собственного FBS число рейсов считается на весь FBS-поток портфеля по более жёсткому лимиту: 250 отправлений или 6 м³; затем умножается на 2 500 ₽/рейс.</t>
  </si>
  <si>
    <t>«Затраты продавца» B8; модельный месяц — 30 дней.</t>
  </si>
  <si>
    <t>Fulllog: поток</t>
  </si>
  <si>
    <t>Fulllog принимает только FBS-поток выбранного гибрида. Выбор FBO/FBS/Пауза выполняется на уровне SKU без общей первой мили; первая миля начисляется затем на портфель в P&amp;L.</t>
  </si>
  <si>
    <t>Модель S, U, V; Fulllog 3PL K7:N7.</t>
  </si>
  <si>
    <t>Fulllog: приёмка</t>
  </si>
  <si>
    <t>5 ₽ за единицу.</t>
  </si>
  <si>
    <t>Публичный прайс: https://fulllog.ru/prices ; проверен 13.09.2026, коммерчески не подтверждён.</t>
  </si>
  <si>
    <t>Fulllog: подбор</t>
  </si>
  <si>
    <t>9 ₽ за единицу. В модели одна единица соответствует одному отправлению.</t>
  </si>
  <si>
    <t>Fulllog: штрихкод</t>
  </si>
  <si>
    <t>4 ₽ за нанесение штрихкода отправления. Дополнительный КИЗ не начисляется: товар подготовлен до моделируемого этапа.</t>
  </si>
  <si>
    <t>Публичный прайс: https://fulllog.ru/prices ; требуется коммерческое подтверждение.</t>
  </si>
  <si>
    <t>Fulllog → Ozon</t>
  </si>
  <si>
    <t>25 ₽ за FBS-отправление. Тариф 4,2 ₽/л для грузового места не добавляется.</t>
  </si>
  <si>
    <t>Публичный Ozon-тариф: https://fulllog.ru/fulfillment-ozon ; требуется коммерческое подтверждение.</t>
  </si>
  <si>
    <t>Fulllog: хранение</t>
  </si>
  <si>
    <t>89 ₽/м³/сутки; расчётный объём умножается на коэффициент 1,25.</t>
  </si>
  <si>
    <t>89 ₽ — публичный прайс; коэффициент 1,25 — допущение модели. Требуется КП.</t>
  </si>
  <si>
    <t>Fulllog: возвраты</t>
  </si>
  <si>
    <t>58 ₽ за возврат/невыкуп: забор с Ozon, вскрытие, осмотр и возврат годного товара на остаток.</t>
  </si>
  <si>
    <t>Публичный прайс: https://fulllog.ru/fulfillment-ozon ; требуется коммерческое подтверждение.</t>
  </si>
  <si>
    <t>Сохраняется отдельной строкой по действующим тарифам Ozon.</t>
  </si>
  <si>
    <t>Не входит в счета Fulllog по описанию услуги.</t>
  </si>
  <si>
    <t>Переупаковка возвратов</t>
  </si>
  <si>
    <t>Дополнительная переупаковка возвратов отдельно не начисляется ни одной схеме.</t>
  </si>
  <si>
    <t>Нет данных о доле повреждённой упаковки; дополнительный ввод удалён.</t>
  </si>
  <si>
    <t>Fulllog: упаковка</t>
  </si>
  <si>
    <t>POF 6/12/16/20/26/32 ₽ по сумме сторон до 30/50/70/90/120/150 см.</t>
  </si>
  <si>
    <t>Публичный прайс: https://fulllog.ru/pereupakovka ; требуется коммерческое подтверждение.</t>
  </si>
  <si>
    <t>Крупногабаритная упаковка</t>
  </si>
  <si>
    <t>Для суммы сторон свыше 150 см временно используется 32 ₽/шт.</t>
  </si>
  <si>
    <t>Индивидуальный тариф Fulllog.</t>
  </si>
  <si>
    <t>10 000 ₽/мес. при ненулевом потоке Fulllog; ограничивает скидку. Доплата включена в сборку/подбор итогового P&amp;L.</t>
  </si>
  <si>
    <t>НДС</t>
  </si>
  <si>
    <t>Не включён отдельной корректировкой.</t>
  </si>
  <si>
    <t>Публичные страницы Fulllog не дают достаточного подтверждения; НДС должен быть зафиксирован в КП до GO.</t>
  </si>
  <si>
    <t>FBO: границы расчёта</t>
  </si>
  <si>
    <t>60 ₽ сборки, 10 ₽ упаковки и 100 ₽ обработки на собственном складе применяются к FBS. Для FBO отдельные ставки не заданы.</t>
  </si>
  <si>
    <t>Не добавляем неподтверждённые затраты; не утверждаем, что все операции FBO бесплатны или включены в тариф.</t>
  </si>
  <si>
    <t>Скидка и база сравнения</t>
  </si>
  <si>
    <t>D5 листа Fulllog 3PL — ручной sensitivity скидки 0–100%. На итоговом листе break-even по скидке не используется как ключевой KPI.</t>
  </si>
  <si>
    <t>Скидка влияет только на услуги Fulllog; Ozon, себестоимость и первая миля не дисконтируются.</t>
  </si>
  <si>
    <t>Заказы</t>
  </si>
  <si>
    <t>Одна товарная единица соответствует одному отправлению.</t>
  </si>
  <si>
    <t>Данных о многотоварной корзине нет.</t>
  </si>
  <si>
    <t>Единый P&amp;L</t>
  </si>
  <si>
    <t>Общие статьи для четырёх схем. Строка первой мили остаётся одной: FBO — ₽/л, собственный FBS — ₽/рейс, Hybrid — комбинация, Hybrid с Fulllog — FBO-плечо + SM → Fulllog. Fulllog: приёмка + подбор + штрихкод → сборка; сдача в Ozon → передача FBS.</t>
  </si>
  <si>
    <t>Дополнительный Drop-off 10 ₽ не добавляется к сдаче Fulllog 25 ₽. Сравнение итогов — относительно FBO.</t>
  </si>
  <si>
    <t>CAPEX, ФОТ и IT</t>
  </si>
  <si>
    <t>Дополнительные разовые затраты запуска не включены.</t>
  </si>
  <si>
    <t>после коммерческого и технического обследования.</t>
  </si>
  <si>
    <t>Периметр</t>
  </si>
  <si>
    <t>Спрос, цены и возвраты — данные SKU. Тарифы Ozon и собственные затраты — data pack; публичные ставки Fulllog — отдельное расширение.</t>
  </si>
  <si>
    <t>Прочерк означает отсутствие отдельного начисления в принятом периметре, а не отсутствие процесса.</t>
  </si>
  <si>
    <t>Нормативный запас</t>
  </si>
  <si>
    <t>Нормативный запас, шт. = месячный поток × оборачиваемость, дней / 30. Расходы хранения = нормативный запас × объём единицы × 30 × тариф хранения.</t>
  </si>
  <si>
    <t>Промежуточный показатель добавлен для прозрачной связи оборачиваемости с P&amp;L; Модель!BO:BQ.</t>
  </si>
  <si>
    <t>Fulllog: SLA</t>
  </si>
  <si>
    <t>До подтверждения SLA партнёра Hybrid с Fulllog использует тот же консервативный поток заказов/выкупов, что и собственный Hybrid; дополнительного uplift спроса не моделируем.</t>
  </si>
  <si>
    <t>Не даём 3PL искусственного преимущества без подтверждённых SLA/данных пилота.</t>
  </si>
  <si>
    <t>Пауза SKU</t>
  </si>
  <si>
    <t>Если SKU убыточен и в FBO, и в FBS, он исключается из активных продаж во всех четырёх сценариях: FBO, FBS, Hybrid и Hybrid с Fulllog.</t>
  </si>
  <si>
    <t>Единый ассортиментный принцип для сопоставимости моделей: схема исполнения не должна заставлять продавать заведомо убыточный SKU. Экономика таких SKU сохраняется на листе «Модель» как обоснование решения.</t>
  </si>
  <si>
    <t>Сценарный анализ — операционные показатели и P&amp;L по четырём вариантам</t>
  </si>
  <si>
    <t>Расчётный движок остаётся на листе «Модель». Сценарии разнесены для ревью; SKU с отрицательной экономикой и в FBO, и в FBS ставятся на паузу во всех сценариях.</t>
  </si>
  <si>
    <t>Операционные показатели</t>
  </si>
  <si>
    <t>Активные SKU, шт.</t>
  </si>
  <si>
    <t>Портфель в сценарии</t>
  </si>
  <si>
    <t>Распределение SKU</t>
  </si>
  <si>
    <t>Отрицательная экономика → управленческое решение</t>
  </si>
  <si>
    <t>Отправления, шт./мес.</t>
  </si>
  <si>
    <t>Физически обработанный поток</t>
  </si>
  <si>
    <t>Выкупы, шт./мес.</t>
  </si>
  <si>
    <t>Остались у покупателя</t>
  </si>
  <si>
    <t>Возвраты, шт./мес.</t>
  </si>
  <si>
    <t>Вернулись / не выкуплены</t>
  </si>
  <si>
    <t>Отмены по SLA, шт./мес.</t>
  </si>
  <si>
    <t>Нарушение SLA ≤24 ч → seller cancellation</t>
  </si>
  <si>
    <t>Нормативный запас, шт.</t>
  </si>
  <si>
    <t>Связка оборачиваемость → запас → хранение</t>
  </si>
  <si>
    <t>По лимиту 250 отправлений / 6 м³</t>
  </si>
  <si>
    <t>Рабочее допущение; уточняется пилотом / SLA партнёра</t>
  </si>
  <si>
    <t>P&amp;L</t>
  </si>
  <si>
    <t>Выручка, ₽/мес.</t>
  </si>
  <si>
    <t>Итоги</t>
  </si>
  <si>
    <t>Себестоимость выкупов, ₽/мес.</t>
  </si>
  <si>
    <t>Валовая прибыль, ₽/мес.</t>
  </si>
  <si>
    <t>Комиссия Ozon, ₽/мес.</t>
  </si>
  <si>
    <t>Эквайринг, ₽/мес.</t>
  </si>
  <si>
    <t>Первая миля, ₽/мес.</t>
  </si>
  <si>
    <t>Хранение, ₽/мес.</t>
  </si>
  <si>
    <t>Сборка / подбор, ₽/мес.</t>
  </si>
  <si>
    <t>Упаковка, ₽/мес.</t>
  </si>
  <si>
    <t>Передача FBS в Ozon, ₽/мес.</t>
  </si>
  <si>
    <t>Прямая логистика Ozon, ₽/мес.</t>
  </si>
  <si>
    <t>Последняя миля Ozon, ₽/мес.</t>
  </si>
  <si>
    <t>Возвратная логистика Ozon, ₽/мес.</t>
  </si>
  <si>
    <t>Обработка возвратов, ₽/мес.</t>
  </si>
  <si>
    <t>Штрафы / списания, ₽/мес.</t>
  </si>
  <si>
    <t>Операционные расходы (без COGS), ₽/мес.</t>
  </si>
  <si>
    <t>Операционная прибыль, ₽/мес.</t>
  </si>
  <si>
    <t>Разница к FBO, ₽/мес.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</si>
</sst>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.00_р_._-;\-* #,##0.00_р_._-;_-* \-??_р_._-;_-@_-"/>
    <numFmt numFmtId="165" formatCode="_-* #,##0_р_._-;\-* #,##0_р_._-;_-* \-_р_._-;_-@_-"/>
    <numFmt numFmtId="166" formatCode="_-* #,##0.00&quot;р.&quot;_-;\-* #,##0.00&quot;р.&quot;_-;_-* \-??&quot;р.&quot;_-;_-@_-"/>
    <numFmt numFmtId="167" formatCode="_-* #,##0&quot;р.&quot;_-;\-* #,##0&quot;р.&quot;_-;_-* &quot;-р.&quot;_-;_-@_-"/>
    <numFmt numFmtId="168" formatCode="#,##0&quot; ₽&quot;;[Red]\-#,##0&quot; ₽&quot;;\-"/>
    <numFmt numFmtId="169" formatCode="0.0%"/>
    <numFmt numFmtId="170" formatCode="#,##0&quot; ₽&quot;"/>
    <numFmt numFmtId="171" formatCode="0.###"/>
    <numFmt numFmtId="172" formatCode="0.##"/>
    <numFmt numFmtId="173" formatCode="#,##0.#;[Red]\-#,##0.#;\-"/>
    <numFmt numFmtId="174" formatCode="#,##0.0"/>
    <numFmt numFmtId="175" formatCode="0.000"/>
    <numFmt numFmtId="176" formatCode="0.0"/>
    <numFmt numFmtId="177" formatCode="#,##0.00;\(#,##0.00\);\-"/>
    <numFmt numFmtId="178" formatCode="0.0%;[Red]\(0.0%\);\-"/>
    <numFmt numFmtId="179" formatCode="#,##0;[Red]\(#,##0\);\-"/>
  </numFmts>
  <fonts count="48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0"/>
      <name val="Arial"/>
      <family val="2"/>
    </font>
    <font>
      <sz val="10"/>
      <color rgb="FF344054"/>
      <name val="Arial"/>
      <family val="2"/>
    </font>
    <font>
      <sz val="10"/>
      <color rgb="FF1F2933"/>
      <name val="Arial"/>
      <family val="2"/>
    </font>
    <font>
      <b/>
      <sz val="16"/>
      <color rgb="FFFFFFFF"/>
      <name val="Arial"/>
      <family val="2"/>
    </font>
    <font>
      <i/>
      <sz val="10"/>
      <color rgb="FF1F2933"/>
      <name val="Arial"/>
      <family val="2"/>
    </font>
    <font>
      <b/>
      <sz val="10"/>
      <color rgb="FFFFFFFF"/>
      <name val="Arial"/>
      <family val="2"/>
    </font>
    <font>
      <b/>
      <sz val="16"/>
      <color rgb="FF1F2933"/>
      <name val="Arial"/>
      <family val="2"/>
    </font>
    <font>
      <b/>
      <sz val="12"/>
      <color rgb="FFFFFFFF"/>
      <name val="Arial"/>
      <family val="2"/>
    </font>
    <font>
      <b/>
      <sz val="14"/>
      <color rgb="FF168257"/>
      <name val="Arial"/>
      <family val="2"/>
    </font>
    <font>
      <b/>
      <sz val="10"/>
      <color rgb="FF1F2933"/>
      <name val="Arial"/>
      <family val="2"/>
    </font>
    <font>
      <sz val="10"/>
      <color rgb="FF000000"/>
      <name val="Arial"/>
      <family val="2"/>
    </font>
    <font>
      <b/>
      <sz val="16"/>
      <color theme="1"/>
      <name val="Arial"/>
      <family val="2"/>
    </font>
    <font>
      <b/>
      <sz val="9"/>
      <color rgb="FFFFFFFF"/>
      <name val="Arial"/>
      <family val="2"/>
    </font>
    <font>
      <sz val="10"/>
      <color rgb="FF008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563C1"/>
      <name val="Arial"/>
      <family val="2"/>
    </font>
    <font>
      <sz val="12"/>
      <color rgb="FF0563C1"/>
      <name val="Arial"/>
      <family val="2"/>
    </font>
    <font>
      <sz val="12"/>
      <name val="Arial"/>
      <family val="2"/>
    </font>
    <font>
      <sz val="12"/>
      <color rgb="FF178255"/>
      <name val="Arial"/>
      <family val="2"/>
    </font>
    <font>
      <b/>
      <sz val="10"/>
      <color rgb="FF0563C1"/>
      <name val="Arial"/>
      <family val="2"/>
    </font>
    <font>
      <b/>
      <sz val="10"/>
      <color rgb="FF008750"/>
      <name val="Arial"/>
      <family val="2"/>
    </font>
    <font>
      <b/>
      <sz val="14"/>
      <color rgb="FF00206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b/>
      <sz val="12"/>
      <color rgb="FFC00000"/>
      <name val="Arial"/>
      <family val="2"/>
    </font>
    <font>
      <b/>
      <sz val="10"/>
      <name val="Arial"/>
      <family val="2"/>
    </font>
    <font>
      <b/>
      <sz val="12"/>
      <color rgb="FF002060"/>
      <name val="Arial"/>
      <family val="2"/>
    </font>
    <font>
      <b/>
      <sz val="9"/>
      <color rgb="FF7F6000"/>
      <name val="Arial"/>
      <family val="2"/>
    </font>
    <font>
      <sz val="9"/>
      <color rgb="FF38556F"/>
      <name val="Arial"/>
      <family val="2"/>
    </font>
    <font>
      <b/>
      <sz val="11"/>
      <color rgb="FFFFFFFF"/>
      <name val="Arial"/>
      <family val="2"/>
    </font>
    <font>
      <b/>
      <sz val="9"/>
      <color rgb="FF1F2933"/>
      <name val="Arial"/>
      <family val="2"/>
    </font>
    <font>
      <sz val="9"/>
      <name val="Arial"/>
      <family val="2"/>
    </font>
    <font>
      <sz val="10"/>
      <color rgb="FF1F2933"/>
      <name val="Arial"/>
      <family val="2"/>
    </font>
    <font>
      <sz val="10"/>
      <color rgb="FF1F2933"/>
      <name val="Arial"/>
      <family val="2"/>
    </font>
    <font>
      <sz val="10"/>
      <color rgb="FF1F2933"/>
      <name val="Arial"/>
      <family val="2"/>
    </font>
    <font>
      <b/>
      <sz val="10"/>
      <color rgb="FF1F2937"/>
      <name val="Arial"/>
      <family val="2"/>
    </font>
    <font>
      <b/>
      <sz val="10"/>
      <color rgb="FF173D2B"/>
      <name val="Arial"/>
      <family val="2"/>
    </font>
    <font>
      <b/>
      <sz val="10"/>
      <color theme="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D4268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theme="3" tint="-0.249977111117893"/>
        <bgColor indexed="65"/>
      </patternFill>
    </fill>
    <fill>
      <patternFill patternType="solid">
        <fgColor theme="9" tint="0.79979857783745845"/>
        <bgColor indexed="65"/>
      </patternFill>
    </fill>
    <fill>
      <patternFill patternType="solid">
        <fgColor rgb="FF1D4266"/>
      </patternFill>
    </fill>
    <fill>
      <patternFill patternType="solid">
        <fgColor rgb="FFFFF2CC"/>
      </patternFill>
    </fill>
    <fill>
      <patternFill patternType="solid">
        <fgColor rgb="FFE3F1EB"/>
      </patternFill>
    </fill>
    <fill>
      <patternFill patternType="solid">
        <fgColor rgb="FF002060"/>
      </patternFill>
    </fill>
    <fill>
      <patternFill patternType="solid">
        <fgColor rgb="FFD9E2F3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1D426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E9"/>
      </patternFill>
    </fill>
    <fill>
      <patternFill patternType="solid">
        <fgColor rgb="FFFFFFFF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CF6F0"/>
      </patternFill>
    </fill>
    <fill>
      <patternFill patternType="solid">
        <fgColor rgb="FFEEF4F8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2F6590"/>
      </patternFill>
    </fill>
    <fill>
      <patternFill patternType="solid">
        <fgColor rgb="FFE8EEF5"/>
      </patternFill>
    </fill>
    <fill>
      <patternFill patternType="solid">
        <fgColor rgb="FFDCEAF6"/>
      </patternFill>
    </fill>
    <fill>
      <patternFill patternType="solid">
        <fgColor rgb="FFDDEFE3"/>
      </patternFill>
    </fill>
    <fill>
      <patternFill patternType="solid">
        <fgColor rgb="FF244D73"/>
      </patternFill>
    </fill>
    <fill>
      <patternFill patternType="solid">
        <fgColor rgb="FF234D73"/>
        <bgColor indexed="64"/>
      </patternFill>
    </fill>
  </fills>
  <borders count="79">
    <border>
      <left/>
      <right/>
      <top/>
      <bottom/>
      <diagonal/>
    </border>
    <border>
      <left style="thin">
        <color rgb="FF1D4268"/>
      </left>
      <right/>
      <top style="thin">
        <color rgb="FF1D4268"/>
      </top>
      <bottom style="thin">
        <color rgb="FF1D4268"/>
      </bottom>
      <diagonal/>
    </border>
    <border>
      <left/>
      <right/>
      <top style="thin">
        <color rgb="FF1D4268"/>
      </top>
      <bottom style="thin">
        <color rgb="FF1D4268"/>
      </bottom>
      <diagonal/>
    </border>
    <border>
      <left/>
      <right style="thin">
        <color rgb="FF1D4268"/>
      </right>
      <top style="thin">
        <color rgb="FF1D4268"/>
      </top>
      <bottom style="thin">
        <color rgb="FF1D4268"/>
      </bottom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/>
      <right/>
      <top/>
      <bottom style="medium">
        <color rgb="FFA7B5C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9D2DC"/>
      </left>
      <right/>
      <top style="thin">
        <color rgb="FFC9D2DC"/>
      </top>
      <bottom style="thin">
        <color rgb="FFC9D2DC"/>
      </bottom>
      <diagonal/>
    </border>
    <border>
      <left/>
      <right/>
      <top style="thin">
        <color rgb="FFC9D2DC"/>
      </top>
      <bottom style="thin">
        <color rgb="FFC9D2DC"/>
      </bottom>
      <diagonal/>
    </border>
    <border>
      <left/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C9D2DC"/>
      </left>
      <right/>
      <top style="thin">
        <color rgb="FFA9C2D6"/>
      </top>
      <bottom style="thin">
        <color rgb="FFA9C2D6"/>
      </bottom>
      <diagonal/>
    </border>
    <border>
      <left/>
      <right/>
      <top style="thin">
        <color rgb="FFA9C2D6"/>
      </top>
      <bottom style="thin">
        <color rgb="FFA9C2D6"/>
      </bottom>
      <diagonal/>
    </border>
    <border>
      <left/>
      <right style="thin">
        <color rgb="FFC9D2DC"/>
      </right>
      <top style="thin">
        <color rgb="FFA9C2D6"/>
      </top>
      <bottom style="thin">
        <color rgb="FFA9C2D6"/>
      </bottom>
      <diagonal/>
    </border>
    <border>
      <left style="thin">
        <color rgb="FFE2E8EF"/>
      </left>
      <right/>
      <top style="thin">
        <color rgb="FFE2E8EF"/>
      </top>
      <bottom/>
      <diagonal/>
    </border>
    <border>
      <left/>
      <right/>
      <top style="thin">
        <color rgb="FFE2E8EF"/>
      </top>
      <bottom/>
      <diagonal/>
    </border>
    <border>
      <left/>
      <right style="thin">
        <color rgb="FFE2E8EF"/>
      </right>
      <top style="thin">
        <color rgb="FFE2E8EF"/>
      </top>
      <bottom/>
      <diagonal/>
    </border>
    <border>
      <left style="thin">
        <color rgb="FFE2E8EF"/>
      </left>
      <right/>
      <top/>
      <bottom/>
      <diagonal/>
    </border>
    <border>
      <left/>
      <right style="thin">
        <color rgb="FFE2E8EF"/>
      </right>
      <top/>
      <bottom/>
      <diagonal/>
    </border>
    <border>
      <left style="thin">
        <color rgb="FFE2E8EF"/>
      </left>
      <right/>
      <top/>
      <bottom style="thin">
        <color rgb="FFE2E8EF"/>
      </bottom>
      <diagonal/>
    </border>
    <border>
      <left/>
      <right/>
      <top/>
      <bottom style="thin">
        <color rgb="FFE2E8EF"/>
      </bottom>
      <diagonal/>
    </border>
    <border>
      <left/>
      <right style="thin">
        <color rgb="FFE2E8EF"/>
      </right>
      <top/>
      <bottom style="thin">
        <color rgb="FFE2E8EF"/>
      </bottom>
      <diagonal/>
    </border>
    <border>
      <left/>
      <right style="thin">
        <color rgb="FFC9D2DC"/>
      </right>
      <top/>
      <bottom/>
      <diagonal/>
    </border>
    <border>
      <left style="thin">
        <color rgb="FFC9D2DC"/>
      </left>
      <right style="thin">
        <color rgb="FFC9D2DC"/>
      </right>
      <top/>
      <bottom/>
      <diagonal/>
    </border>
    <border>
      <left style="thin">
        <color rgb="FFC9D2DC"/>
      </left>
      <right/>
      <top/>
      <bottom/>
      <diagonal/>
    </border>
    <border>
      <left/>
      <right/>
      <top/>
      <bottom/>
      <diagonal/>
    </border>
    <border>
      <left/>
      <right style="thin">
        <color rgb="FFC9D2DC"/>
      </right>
      <top style="thin">
        <color rgb="FFC9D2DC"/>
      </top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rgb="FFC9D2DC"/>
      </left>
      <right style="hair">
        <color theme="1"/>
      </right>
      <top style="thin">
        <color rgb="FFC9D2DC"/>
      </top>
      <bottom/>
      <diagonal/>
    </border>
    <border>
      <left/>
      <right/>
      <top style="thin">
        <color rgb="FFC9D2DC"/>
      </top>
      <bottom/>
      <diagonal/>
    </border>
    <border>
      <left style="thin">
        <color rgb="FFC9D2DC"/>
      </left>
      <right style="thin">
        <color rgb="FFC9D2DC"/>
      </right>
      <top/>
      <bottom style="thin">
        <color rgb="FFC9D2DC"/>
      </bottom>
      <diagonal/>
    </border>
    <border>
      <left style="hair">
        <color theme="1"/>
      </left>
      <right style="thin">
        <color rgb="FFC9D2DC"/>
      </right>
      <top style="hair">
        <color theme="1"/>
      </top>
      <bottom style="hair">
        <color theme="1"/>
      </bottom>
      <diagonal/>
    </border>
    <border>
      <left style="thin">
        <color rgb="FFC9D2DC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thin">
        <color rgb="FFC9D2DC"/>
      </top>
      <bottom style="thin">
        <color rgb="FFC9D2DC"/>
      </bottom>
      <diagonal/>
    </border>
    <border>
      <left style="hair">
        <color theme="1"/>
      </left>
      <right style="hair">
        <color theme="1"/>
      </right>
      <top style="thin">
        <color rgb="FF9FBAD0"/>
      </top>
      <bottom style="thin">
        <color rgb="FFC9D2DC"/>
      </bottom>
      <diagonal/>
    </border>
    <border>
      <left/>
      <right/>
      <top style="thin">
        <color rgb="FF9FBAD0"/>
      </top>
      <bottom style="thin">
        <color rgb="FFC9D2DC"/>
      </bottom>
      <diagonal/>
    </border>
    <border>
      <left/>
      <right style="hair">
        <color theme="1"/>
      </right>
      <top style="thin">
        <color rgb="FFC9D2DC"/>
      </top>
      <bottom style="thin">
        <color rgb="FFC9D2DC"/>
      </bottom>
      <diagonal/>
    </border>
    <border>
      <left/>
      <right style="hair">
        <color theme="1"/>
      </right>
      <top style="thin">
        <color rgb="FF9FBAD0"/>
      </top>
      <bottom style="thin">
        <color rgb="FFC9D2DC"/>
      </bottom>
      <diagonal/>
    </border>
    <border>
      <left style="hair">
        <color theme="1"/>
      </left>
      <right style="hair">
        <color theme="1"/>
      </right>
      <top style="thin">
        <color rgb="FFC9D2DC"/>
      </top>
      <bottom style="thin">
        <color rgb="FFC9D2DC"/>
      </bottom>
      <diagonal/>
    </border>
    <border>
      <left style="hair">
        <color theme="1"/>
      </left>
      <right style="hair">
        <color theme="1"/>
      </right>
      <top/>
      <bottom style="thin">
        <color rgb="FFC9D2DC"/>
      </bottom>
      <diagonal/>
    </border>
    <border>
      <left/>
      <right style="hair">
        <color theme="1"/>
      </right>
      <top/>
      <bottom style="thin">
        <color rgb="FFC9D2DC"/>
      </bottom>
      <diagonal/>
    </border>
    <border>
      <left/>
      <right/>
      <top/>
      <bottom style="thin">
        <color rgb="FFC9D2DC"/>
      </bottom>
      <diagonal/>
    </border>
    <border>
      <left style="hair">
        <color theme="1"/>
      </left>
      <right style="hair">
        <color theme="1"/>
      </right>
      <top style="thin">
        <color rgb="FF8EABC3"/>
      </top>
      <bottom/>
      <diagonal/>
    </border>
    <border>
      <left/>
      <right style="hair">
        <color theme="1"/>
      </right>
      <top style="thin">
        <color rgb="FF8EABC3"/>
      </top>
      <bottom/>
      <diagonal/>
    </border>
    <border>
      <left/>
      <right/>
      <top style="thin">
        <color rgb="FF8EABC3"/>
      </top>
      <bottom/>
      <diagonal/>
    </border>
    <border>
      <left style="hair">
        <color theme="1"/>
      </left>
      <right style="hair">
        <color theme="1"/>
      </right>
      <top style="thin">
        <color rgb="FF9EADBA"/>
      </top>
      <bottom style="thin">
        <color rgb="FF9EADBA"/>
      </bottom>
      <diagonal/>
    </border>
    <border>
      <left style="hair">
        <color theme="1"/>
      </left>
      <right style="hair">
        <color theme="1"/>
      </right>
      <top style="thin">
        <color rgb="FFA9CBB9"/>
      </top>
      <bottom style="thin">
        <color rgb="FFC9D2DC"/>
      </bottom>
      <diagonal/>
    </border>
    <border>
      <left style="hair">
        <color theme="1"/>
      </left>
      <right style="hair">
        <color theme="1"/>
      </right>
      <top style="thin">
        <color rgb="FFB7D6C3"/>
      </top>
      <bottom style="thin">
        <color rgb="FFB7D6C3"/>
      </bottom>
      <diagonal/>
    </border>
    <border>
      <left style="hair">
        <color theme="1"/>
      </left>
      <right style="hair">
        <color theme="1"/>
      </right>
      <top style="thin">
        <color rgb="FFAFC0CF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rgb="FFC9D2DC"/>
      </top>
      <bottom/>
      <diagonal/>
    </border>
    <border>
      <left style="hair">
        <color theme="1"/>
      </left>
      <right/>
      <top/>
      <bottom style="thin">
        <color rgb="FFC9D2DC"/>
      </bottom>
      <diagonal/>
    </border>
    <border>
      <left style="hair">
        <color theme="1"/>
      </left>
      <right/>
      <top style="thin">
        <color rgb="FFC9D2DC"/>
      </top>
      <bottom/>
      <diagonal/>
    </border>
    <border>
      <left/>
      <right style="hair">
        <color theme="1"/>
      </right>
      <top style="thin">
        <color rgb="FFC9D2DC"/>
      </top>
      <bottom/>
      <diagonal/>
    </border>
  </borders>
  <cellStyleXfs count="62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0" fontId="3" fillId="0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1">
    <xf numFmtId="0" fontId="0" fillId="0" borderId="0" xfId="0"/>
    <xf numFmtId="0" fontId="5" fillId="3" borderId="4" xfId="37" applyFont="1" applyFill="1" applyBorder="1" applyAlignment="1">
      <alignment vertical="center" wrapText="1"/>
    </xf>
    <xf numFmtId="0" fontId="8" fillId="7" borderId="4" xfId="37" applyFont="1" applyFill="1" applyBorder="1" applyAlignment="1">
      <alignment vertical="center" wrapText="1"/>
    </xf>
    <xf numFmtId="0" fontId="4" fillId="0" borderId="0" xfId="38" applyFont="1"/>
    <xf numFmtId="0" fontId="5" fillId="0" borderId="0" xfId="61" applyFont="1" applyAlignment="1">
      <alignment vertical="center"/>
    </xf>
    <xf numFmtId="0" fontId="7" fillId="0" borderId="0" xfId="61" applyFont="1" applyAlignment="1">
      <alignment vertical="center"/>
    </xf>
    <xf numFmtId="0" fontId="13" fillId="0" borderId="0" xfId="38" applyFont="1"/>
    <xf numFmtId="0" fontId="14" fillId="0" borderId="0" xfId="38" applyFont="1"/>
    <xf numFmtId="0" fontId="4" fillId="0" borderId="5" xfId="38" applyFont="1" applyBorder="1"/>
    <xf numFmtId="0" fontId="8" fillId="4" borderId="6" xfId="38" applyFont="1" applyFill="1" applyBorder="1" applyAlignment="1">
      <alignment horizontal="center" vertical="center" wrapText="1"/>
    </xf>
    <xf numFmtId="0" fontId="13" fillId="0" borderId="0" xfId="38" applyFont="1" applyAlignment="1">
      <alignment horizontal="center" vertical="center" wrapText="1"/>
    </xf>
    <xf numFmtId="0" fontId="15" fillId="5" borderId="6" xfId="38" applyFont="1" applyFill="1" applyBorder="1" applyAlignment="1">
      <alignment horizontal="center" vertical="center" wrapText="1"/>
    </xf>
    <xf numFmtId="0" fontId="16" fillId="0" borderId="7" xfId="38" applyFont="1" applyBorder="1"/>
    <xf numFmtId="168" fontId="16" fillId="0" borderId="7" xfId="38" applyNumberFormat="1" applyFont="1" applyBorder="1"/>
    <xf numFmtId="171" fontId="16" fillId="0" borderId="7" xfId="38" applyNumberFormat="1" applyFont="1" applyBorder="1"/>
    <xf numFmtId="9" fontId="16" fillId="0" borderId="7" xfId="38" applyNumberFormat="1" applyFont="1" applyBorder="1"/>
    <xf numFmtId="172" fontId="16" fillId="0" borderId="7" xfId="38" applyNumberFormat="1" applyFont="1" applyBorder="1"/>
    <xf numFmtId="168" fontId="17" fillId="0" borderId="7" xfId="38" applyNumberFormat="1" applyFont="1" applyBorder="1"/>
    <xf numFmtId="0" fontId="17" fillId="0" borderId="7" xfId="38" applyFont="1" applyBorder="1"/>
    <xf numFmtId="0" fontId="18" fillId="6" borderId="7" xfId="38" applyFont="1" applyFill="1" applyBorder="1"/>
    <xf numFmtId="173" fontId="17" fillId="0" borderId="7" xfId="38" applyNumberFormat="1" applyFont="1" applyBorder="1"/>
    <xf numFmtId="172" fontId="17" fillId="0" borderId="7" xfId="38" applyNumberFormat="1" applyFont="1" applyBorder="1"/>
    <xf numFmtId="168" fontId="19" fillId="0" borderId="7" xfId="38" applyNumberFormat="1" applyFont="1" applyBorder="1"/>
    <xf numFmtId="172" fontId="19" fillId="0" borderId="7" xfId="38" applyNumberFormat="1" applyFont="1" applyBorder="1"/>
    <xf numFmtId="170" fontId="1" fillId="0" borderId="0" xfId="57" applyNumberFormat="1"/>
    <xf numFmtId="168" fontId="4" fillId="0" borderId="7" xfId="38" applyNumberFormat="1" applyFont="1" applyBorder="1"/>
    <xf numFmtId="0" fontId="17" fillId="0" borderId="0" xfId="38" applyFont="1"/>
    <xf numFmtId="0" fontId="1" fillId="0" borderId="0" xfId="58"/>
    <xf numFmtId="0" fontId="20" fillId="0" borderId="9" xfId="38" applyFont="1" applyBorder="1" applyAlignment="1">
      <alignment horizontal="center" vertical="center" wrapText="1"/>
    </xf>
    <xf numFmtId="0" fontId="20" fillId="0" borderId="10" xfId="38" applyFont="1" applyBorder="1" applyAlignment="1">
      <alignment horizontal="center" vertical="center" wrapText="1"/>
    </xf>
    <xf numFmtId="0" fontId="20" fillId="0" borderId="11" xfId="38" applyFont="1" applyBorder="1" applyAlignment="1">
      <alignment horizontal="center" vertical="center" wrapText="1"/>
    </xf>
    <xf numFmtId="0" fontId="21" fillId="0" borderId="12" xfId="38" applyFont="1" applyBorder="1" applyAlignment="1">
      <alignment horizontal="left" vertical="center" wrapText="1"/>
    </xf>
    <xf numFmtId="1" fontId="22" fillId="0" borderId="13" xfId="38" applyNumberFormat="1" applyFont="1" applyBorder="1" applyAlignment="1">
      <alignment horizontal="center" vertical="center" wrapText="1"/>
    </xf>
    <xf numFmtId="0" fontId="21" fillId="0" borderId="14" xfId="38" applyFont="1" applyBorder="1" applyAlignment="1">
      <alignment horizontal="center" vertical="center" wrapText="1"/>
    </xf>
    <xf numFmtId="0" fontId="21" fillId="0" borderId="12" xfId="38" applyFont="1" applyBorder="1" applyAlignment="1">
      <alignment horizontal="center" vertical="center" wrapText="1"/>
    </xf>
    <xf numFmtId="9" fontId="22" fillId="0" borderId="13" xfId="38" applyNumberFormat="1" applyFont="1" applyBorder="1" applyAlignment="1">
      <alignment horizontal="center" vertical="center" wrapText="1"/>
    </xf>
    <xf numFmtId="0" fontId="4" fillId="0" borderId="0" xfId="38" applyFont="1" applyAlignment="1">
      <alignment vertical="center" wrapText="1"/>
    </xf>
    <xf numFmtId="9" fontId="22" fillId="0" borderId="14" xfId="38" applyNumberFormat="1" applyFont="1" applyBorder="1" applyAlignment="1">
      <alignment horizontal="center" vertical="center" wrapText="1"/>
    </xf>
    <xf numFmtId="0" fontId="21" fillId="0" borderId="15" xfId="38" applyFont="1" applyBorder="1" applyAlignment="1">
      <alignment horizontal="left" vertical="center" wrapText="1"/>
    </xf>
    <xf numFmtId="9" fontId="22" fillId="0" borderId="16" xfId="38" applyNumberFormat="1" applyFont="1" applyBorder="1" applyAlignment="1">
      <alignment horizontal="center" vertical="center" wrapText="1"/>
    </xf>
    <xf numFmtId="0" fontId="21" fillId="0" borderId="15" xfId="38" applyFont="1" applyBorder="1" applyAlignment="1">
      <alignment horizontal="center" vertical="center" wrapText="1"/>
    </xf>
    <xf numFmtId="0" fontId="21" fillId="0" borderId="17" xfId="38" applyFont="1" applyBorder="1" applyAlignment="1">
      <alignment horizontal="left" vertical="center" wrapText="1"/>
    </xf>
    <xf numFmtId="9" fontId="22" fillId="0" borderId="0" xfId="38" applyNumberFormat="1" applyFont="1" applyAlignment="1">
      <alignment horizontal="center" vertical="center" wrapText="1"/>
    </xf>
    <xf numFmtId="0" fontId="21" fillId="0" borderId="17" xfId="38" applyFont="1" applyBorder="1" applyAlignment="1">
      <alignment horizontal="center" vertical="center" wrapText="1"/>
    </xf>
    <xf numFmtId="0" fontId="23" fillId="0" borderId="17" xfId="38" applyFont="1" applyBorder="1" applyAlignment="1">
      <alignment horizontal="center" vertical="center" wrapText="1"/>
    </xf>
    <xf numFmtId="172" fontId="22" fillId="0" borderId="14" xfId="38" applyNumberFormat="1" applyFont="1" applyBorder="1" applyAlignment="1">
      <alignment horizontal="center" vertical="center" wrapText="1"/>
    </xf>
    <xf numFmtId="0" fontId="23" fillId="0" borderId="12" xfId="38" applyFont="1" applyBorder="1" applyAlignment="1">
      <alignment horizontal="center" vertical="center" wrapText="1"/>
    </xf>
    <xf numFmtId="0" fontId="24" fillId="0" borderId="0" xfId="58" applyFont="1"/>
    <xf numFmtId="0" fontId="20" fillId="0" borderId="12" xfId="38" applyFont="1" applyBorder="1" applyAlignment="1">
      <alignment horizontal="center" vertical="center" wrapText="1"/>
    </xf>
    <xf numFmtId="9" fontId="25" fillId="0" borderId="12" xfId="38" applyNumberFormat="1" applyFont="1" applyBorder="1" applyAlignment="1">
      <alignment horizontal="center" vertical="center" wrapText="1"/>
    </xf>
    <xf numFmtId="9" fontId="25" fillId="0" borderId="17" xfId="38" applyNumberFormat="1" applyFont="1" applyBorder="1" applyAlignment="1">
      <alignment horizontal="center" vertical="center" wrapText="1"/>
    </xf>
    <xf numFmtId="9" fontId="25" fillId="0" borderId="15" xfId="38" applyNumberFormat="1" applyFont="1" applyBorder="1" applyAlignment="1">
      <alignment horizontal="center" vertical="center" wrapText="1"/>
    </xf>
    <xf numFmtId="0" fontId="23" fillId="0" borderId="15" xfId="38" applyFont="1" applyBorder="1" applyAlignment="1">
      <alignment horizontal="center" vertical="center" wrapText="1"/>
    </xf>
    <xf numFmtId="0" fontId="20" fillId="0" borderId="18" xfId="38" applyFont="1" applyBorder="1" applyAlignment="1">
      <alignment horizontal="center" vertical="center" wrapText="1"/>
    </xf>
    <xf numFmtId="0" fontId="20" fillId="0" borderId="13" xfId="38" applyFont="1" applyBorder="1" applyAlignment="1">
      <alignment horizontal="center" vertical="center" wrapText="1"/>
    </xf>
    <xf numFmtId="0" fontId="21" fillId="0" borderId="18" xfId="38" applyFont="1" applyBorder="1" applyAlignment="1">
      <alignment horizontal="left" vertical="center" wrapText="1"/>
    </xf>
    <xf numFmtId="1" fontId="21" fillId="0" borderId="12" xfId="38" applyNumberFormat="1" applyFont="1" applyBorder="1" applyAlignment="1">
      <alignment horizontal="center" vertical="center" wrapText="1"/>
    </xf>
    <xf numFmtId="0" fontId="23" fillId="0" borderId="13" xfId="38" applyFont="1" applyBorder="1" applyAlignment="1">
      <alignment horizontal="center" vertical="center" wrapText="1"/>
    </xf>
    <xf numFmtId="172" fontId="21" fillId="0" borderId="12" xfId="38" applyNumberFormat="1" applyFont="1" applyBorder="1" applyAlignment="1">
      <alignment horizontal="center" vertical="center" wrapText="1"/>
    </xf>
    <xf numFmtId="0" fontId="1" fillId="3" borderId="0" xfId="37" applyFill="1"/>
    <xf numFmtId="0" fontId="5" fillId="3" borderId="0" xfId="37" applyFont="1" applyFill="1" applyAlignment="1">
      <alignment wrapText="1"/>
    </xf>
    <xf numFmtId="0" fontId="5" fillId="3" borderId="0" xfId="37" applyFont="1" applyFill="1" applyAlignment="1">
      <alignment vertical="center" wrapText="1"/>
    </xf>
    <xf numFmtId="174" fontId="5" fillId="3" borderId="4" xfId="37" applyNumberFormat="1" applyFont="1" applyFill="1" applyBorder="1" applyAlignment="1">
      <alignment vertical="center" wrapText="1"/>
    </xf>
    <xf numFmtId="2" fontId="5" fillId="3" borderId="4" xfId="37" applyNumberFormat="1" applyFont="1" applyFill="1" applyBorder="1" applyAlignment="1">
      <alignment vertical="center" wrapText="1"/>
    </xf>
    <xf numFmtId="170" fontId="5" fillId="3" borderId="4" xfId="37" applyNumberFormat="1" applyFont="1" applyFill="1" applyBorder="1" applyAlignment="1">
      <alignment vertical="center" wrapText="1"/>
    </xf>
    <xf numFmtId="3" fontId="5" fillId="3" borderId="0" xfId="37" applyNumberFormat="1" applyFont="1" applyFill="1" applyAlignment="1">
      <alignment vertical="center" wrapText="1"/>
    </xf>
    <xf numFmtId="175" fontId="5" fillId="3" borderId="4" xfId="37" applyNumberFormat="1" applyFont="1" applyFill="1" applyBorder="1" applyAlignment="1">
      <alignment vertical="center" wrapText="1"/>
    </xf>
    <xf numFmtId="0" fontId="2" fillId="0" borderId="0" xfId="38"/>
    <xf numFmtId="0" fontId="28" fillId="0" borderId="0" xfId="38" applyFont="1" applyAlignment="1">
      <alignment vertical="top"/>
    </xf>
    <xf numFmtId="0" fontId="29" fillId="0" borderId="0" xfId="38" applyFont="1" applyAlignment="1">
      <alignment vertical="top" wrapText="1"/>
    </xf>
    <xf numFmtId="0" fontId="30" fillId="0" borderId="0" xfId="38" applyFont="1" applyAlignment="1">
      <alignment vertical="top"/>
    </xf>
    <xf numFmtId="0" fontId="2" fillId="0" borderId="0" xfId="38" applyAlignment="1">
      <alignment horizontal="right" vertical="top"/>
    </xf>
    <xf numFmtId="0" fontId="26" fillId="0" borderId="0" xfId="38" applyFont="1"/>
    <xf numFmtId="0" fontId="31" fillId="10" borderId="19" xfId="38" applyFont="1" applyFill="1" applyBorder="1" applyAlignment="1">
      <alignment horizontal="center" vertical="center" wrapText="1"/>
    </xf>
    <xf numFmtId="0" fontId="31" fillId="10" borderId="19" xfId="38" applyFont="1" applyFill="1" applyBorder="1" applyAlignment="1">
      <alignment horizontal="center" vertical="center"/>
    </xf>
    <xf numFmtId="0" fontId="29" fillId="0" borderId="19" xfId="38" applyFont="1" applyBorder="1"/>
    <xf numFmtId="0" fontId="29" fillId="0" borderId="19" xfId="38" applyFont="1" applyBorder="1" applyAlignment="1">
      <alignment wrapText="1"/>
    </xf>
    <xf numFmtId="3" fontId="29" fillId="0" borderId="19" xfId="38" applyNumberFormat="1" applyFont="1" applyBorder="1"/>
    <xf numFmtId="176" fontId="29" fillId="0" borderId="19" xfId="38" applyNumberFormat="1" applyFont="1" applyBorder="1"/>
    <xf numFmtId="177" fontId="32" fillId="0" borderId="19" xfId="38" applyNumberFormat="1" applyFont="1" applyBorder="1" applyAlignment="1">
      <alignment horizontal="right"/>
    </xf>
    <xf numFmtId="9" fontId="29" fillId="0" borderId="19" xfId="38" applyNumberFormat="1" applyFont="1" applyBorder="1"/>
    <xf numFmtId="0" fontId="33" fillId="0" borderId="0" xfId="38" applyFont="1"/>
    <xf numFmtId="0" fontId="2" fillId="0" borderId="0" xfId="38" applyAlignment="1">
      <alignment horizontal="center"/>
    </xf>
    <xf numFmtId="0" fontId="34" fillId="0" borderId="0" xfId="38" applyFont="1"/>
    <xf numFmtId="0" fontId="8" fillId="10" borderId="19" xfId="38" applyFont="1" applyFill="1" applyBorder="1"/>
    <xf numFmtId="0" fontId="8" fillId="10" borderId="19" xfId="38" applyFont="1" applyFill="1" applyBorder="1" applyAlignment="1">
      <alignment horizontal="center"/>
    </xf>
    <xf numFmtId="0" fontId="35" fillId="11" borderId="19" xfId="38" applyFont="1" applyFill="1" applyBorder="1"/>
    <xf numFmtId="0" fontId="2" fillId="11" borderId="19" xfId="38" applyFill="1" applyBorder="1"/>
    <xf numFmtId="0" fontId="2" fillId="11" borderId="19" xfId="38" applyFill="1" applyBorder="1" applyAlignment="1">
      <alignment horizontal="center"/>
    </xf>
    <xf numFmtId="0" fontId="1" fillId="0" borderId="19" xfId="38" applyFont="1" applyBorder="1"/>
    <xf numFmtId="9" fontId="18" fillId="0" borderId="19" xfId="38" applyNumberFormat="1" applyFont="1" applyBorder="1"/>
    <xf numFmtId="0" fontId="1" fillId="0" borderId="19" xfId="38" applyFont="1" applyBorder="1" applyAlignment="1">
      <alignment horizontal="center"/>
    </xf>
    <xf numFmtId="0" fontId="1" fillId="0" borderId="19" xfId="38" applyFont="1" applyBorder="1" applyAlignment="1">
      <alignment vertical="top" wrapText="1"/>
    </xf>
    <xf numFmtId="0" fontId="18" fillId="0" borderId="19" xfId="38" applyFont="1" applyBorder="1"/>
    <xf numFmtId="169" fontId="18" fillId="0" borderId="19" xfId="38" applyNumberFormat="1" applyFont="1" applyBorder="1"/>
    <xf numFmtId="0" fontId="36" fillId="0" borderId="0" xfId="38" applyFont="1"/>
    <xf numFmtId="2" fontId="18" fillId="0" borderId="19" xfId="38" applyNumberFormat="1" applyFont="1" applyBorder="1"/>
    <xf numFmtId="0" fontId="13" fillId="3" borderId="0" xfId="39" applyFont="1" applyFill="1" applyAlignment="1">
      <alignment vertical="center"/>
    </xf>
    <xf numFmtId="0" fontId="8" fillId="10" borderId="4" xfId="39" applyFont="1" applyFill="1" applyBorder="1" applyAlignment="1">
      <alignment horizontal="left" vertical="center" wrapText="1"/>
    </xf>
    <xf numFmtId="0" fontId="13" fillId="12" borderId="4" xfId="39" applyFont="1" applyFill="1" applyBorder="1" applyAlignment="1">
      <alignment horizontal="right" vertical="center" wrapText="1"/>
    </xf>
    <xf numFmtId="0" fontId="13" fillId="12" borderId="4" xfId="57" applyFont="1" applyFill="1" applyBorder="1" applyAlignment="1">
      <alignment horizontal="left" vertical="center" wrapText="1"/>
    </xf>
    <xf numFmtId="0" fontId="8" fillId="7" borderId="4" xfId="37" applyFont="1" applyFill="1" applyBorder="1" applyAlignment="1">
      <alignment horizontal="center" vertical="center" wrapText="1"/>
    </xf>
    <xf numFmtId="0" fontId="5" fillId="3" borderId="4" xfId="37" applyFont="1" applyFill="1" applyBorder="1" applyAlignment="1">
      <alignment horizontal="center" vertical="center" wrapText="1"/>
    </xf>
    <xf numFmtId="3" fontId="26" fillId="8" borderId="4" xfId="37" applyNumberFormat="1" applyFont="1" applyFill="1" applyBorder="1" applyAlignment="1">
      <alignment horizontal="center" vertical="center" wrapText="1"/>
    </xf>
    <xf numFmtId="3" fontId="8" fillId="7" borderId="4" xfId="37" applyNumberFormat="1" applyFont="1" applyFill="1" applyBorder="1" applyAlignment="1">
      <alignment horizontal="center" vertical="center" wrapText="1"/>
    </xf>
    <xf numFmtId="0" fontId="5" fillId="3" borderId="4" xfId="37" applyFont="1" applyFill="1" applyBorder="1" applyAlignment="1">
      <alignment horizontal="left" vertical="center" wrapText="1"/>
    </xf>
    <xf numFmtId="170" fontId="5" fillId="3" borderId="4" xfId="37" applyNumberFormat="1" applyFont="1" applyFill="1" applyBorder="1" applyAlignment="1">
      <alignment horizontal="center" vertical="center" wrapText="1"/>
    </xf>
    <xf numFmtId="170" fontId="27" fillId="9" borderId="4" xfId="37" applyNumberFormat="1" applyFont="1" applyFill="1" applyBorder="1" applyAlignment="1">
      <alignment horizontal="center" vertical="center" wrapText="1"/>
    </xf>
    <xf numFmtId="0" fontId="15" fillId="7" borderId="4" xfId="37" applyFont="1" applyFill="1" applyBorder="1" applyAlignment="1">
      <alignment horizontal="center" vertical="center" wrapText="1"/>
    </xf>
    <xf numFmtId="0" fontId="36" fillId="3" borderId="0" xfId="39" applyFont="1" applyFill="1" applyAlignment="1">
      <alignment horizontal="left" vertical="center"/>
    </xf>
    <xf numFmtId="0" fontId="13" fillId="3" borderId="0" xfId="39" applyFont="1" applyFill="1" applyAlignment="1">
      <alignment horizontal="left" vertical="center"/>
    </xf>
    <xf numFmtId="2" fontId="26" fillId="8" borderId="4" xfId="37" applyNumberFormat="1" applyFont="1" applyFill="1" applyBorder="1" applyAlignment="1">
      <alignment horizontal="center" vertical="center" wrapText="1"/>
    </xf>
    <xf numFmtId="169" fontId="22" fillId="13" borderId="14" xfId="0" applyNumberFormat="1" applyFont="1" applyFill="1" applyBorder="1" applyAlignment="1">
      <alignment horizontal="center" vertical="center" wrapText="1"/>
    </xf>
    <xf numFmtId="0" fontId="15" fillId="14" borderId="20" xfId="0" applyFont="1" applyFill="1" applyBorder="1" applyAlignment="1">
      <alignment horizontal="center" vertical="center" wrapText="1"/>
    </xf>
    <xf numFmtId="0" fontId="15" fillId="14" borderId="21" xfId="0" applyFont="1" applyFill="1" applyBorder="1" applyAlignment="1">
      <alignment horizontal="center" vertical="center" wrapText="1"/>
    </xf>
    <xf numFmtId="0" fontId="15" fillId="14" borderId="22" xfId="0" applyFont="1" applyFill="1" applyBorder="1" applyAlignment="1">
      <alignment horizontal="center" vertical="center" wrapText="1"/>
    </xf>
    <xf numFmtId="1" fontId="16" fillId="0" borderId="7" xfId="0" applyNumberFormat="1" applyFont="1" applyBorder="1"/>
    <xf numFmtId="1" fontId="19" fillId="0" borderId="7" xfId="0" applyNumberFormat="1" applyFont="1" applyBorder="1"/>
    <xf numFmtId="1" fontId="0" fillId="0" borderId="0" xfId="0" applyNumberFormat="1" applyAlignment="1">
      <alignment wrapText="1"/>
    </xf>
    <xf numFmtId="0" fontId="5" fillId="0" borderId="27" xfId="0" applyFont="1" applyBorder="1" applyAlignment="1">
      <alignment vertical="top" wrapText="1"/>
    </xf>
    <xf numFmtId="0" fontId="5" fillId="0" borderId="28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5" fillId="0" borderId="31" xfId="0" applyFont="1" applyBorder="1" applyAlignment="1">
      <alignment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top" wrapText="1"/>
    </xf>
    <xf numFmtId="179" fontId="5" fillId="0" borderId="0" xfId="0" applyNumberFormat="1" applyFont="1" applyAlignment="1">
      <alignment vertical="center"/>
    </xf>
    <xf numFmtId="0" fontId="40" fillId="15" borderId="32" xfId="0" applyFont="1" applyFill="1" applyBorder="1" applyAlignment="1">
      <alignment horizontal="center" vertical="center"/>
    </xf>
    <xf numFmtId="0" fontId="40" fillId="15" borderId="33" xfId="0" applyFont="1" applyFill="1" applyBorder="1" applyAlignment="1">
      <alignment horizontal="center" vertical="center"/>
    </xf>
    <xf numFmtId="0" fontId="40" fillId="15" borderId="3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0" fillId="15" borderId="38" xfId="0" applyFont="1" applyFill="1" applyBorder="1" applyAlignment="1">
      <alignment wrapText="1"/>
    </xf>
    <xf numFmtId="179" fontId="40" fillId="15" borderId="0" xfId="0" applyNumberFormat="1" applyFont="1" applyFill="1" applyAlignment="1">
      <alignment wrapText="1"/>
    </xf>
    <xf numFmtId="0" fontId="40" fillId="15" borderId="39" xfId="0" applyFont="1" applyFill="1" applyBorder="1" applyAlignment="1">
      <alignment wrapText="1"/>
    </xf>
    <xf numFmtId="0" fontId="40" fillId="16" borderId="38" xfId="0" applyFont="1" applyFill="1" applyBorder="1" applyAlignment="1">
      <alignment wrapText="1"/>
    </xf>
    <xf numFmtId="179" fontId="40" fillId="16" borderId="0" xfId="0" applyNumberFormat="1" applyFont="1" applyFill="1" applyAlignment="1">
      <alignment wrapText="1"/>
    </xf>
    <xf numFmtId="0" fontId="40" fillId="16" borderId="39" xfId="0" applyFont="1" applyFill="1" applyBorder="1" applyAlignment="1">
      <alignment wrapText="1"/>
    </xf>
    <xf numFmtId="0" fontId="40" fillId="17" borderId="38" xfId="0" applyFont="1" applyFill="1" applyBorder="1" applyAlignment="1">
      <alignment wrapText="1"/>
    </xf>
    <xf numFmtId="179" fontId="40" fillId="17" borderId="0" xfId="0" applyNumberFormat="1" applyFont="1" applyFill="1" applyAlignment="1">
      <alignment wrapText="1"/>
    </xf>
    <xf numFmtId="0" fontId="40" fillId="17" borderId="39" xfId="0" applyFont="1" applyFill="1" applyBorder="1" applyAlignment="1">
      <alignment wrapText="1"/>
    </xf>
    <xf numFmtId="178" fontId="40" fillId="17" borderId="0" xfId="0" applyNumberFormat="1" applyFont="1" applyFill="1" applyAlignment="1">
      <alignment wrapText="1"/>
    </xf>
    <xf numFmtId="0" fontId="41" fillId="0" borderId="0" xfId="0" applyFont="1"/>
    <xf numFmtId="0" fontId="41" fillId="0" borderId="35" xfId="0" applyFont="1" applyBorder="1" applyAlignment="1">
      <alignment wrapText="1"/>
    </xf>
    <xf numFmtId="1" fontId="41" fillId="0" borderId="36" xfId="0" applyNumberFormat="1" applyFont="1" applyBorder="1" applyAlignment="1">
      <alignment wrapText="1"/>
    </xf>
    <xf numFmtId="0" fontId="41" fillId="0" borderId="37" xfId="0" applyFont="1" applyBorder="1" applyAlignment="1">
      <alignment wrapText="1"/>
    </xf>
    <xf numFmtId="0" fontId="41" fillId="0" borderId="38" xfId="0" applyFont="1" applyBorder="1" applyAlignment="1">
      <alignment wrapText="1"/>
    </xf>
    <xf numFmtId="1" fontId="41" fillId="0" borderId="0" xfId="0" applyNumberFormat="1" applyFont="1" applyAlignment="1">
      <alignment wrapText="1"/>
    </xf>
    <xf numFmtId="0" fontId="41" fillId="0" borderId="39" xfId="0" applyFont="1" applyBorder="1" applyAlignment="1">
      <alignment wrapText="1"/>
    </xf>
    <xf numFmtId="0" fontId="41" fillId="0" borderId="40" xfId="0" applyFont="1" applyBorder="1" applyAlignment="1">
      <alignment wrapText="1"/>
    </xf>
    <xf numFmtId="178" fontId="41" fillId="0" borderId="41" xfId="0" applyNumberFormat="1" applyFont="1" applyBorder="1" applyAlignment="1">
      <alignment wrapText="1"/>
    </xf>
    <xf numFmtId="0" fontId="41" fillId="0" borderId="42" xfId="0" applyFont="1" applyBorder="1" applyAlignment="1">
      <alignment wrapText="1"/>
    </xf>
    <xf numFmtId="179" fontId="41" fillId="0" borderId="36" xfId="0" applyNumberFormat="1" applyFont="1" applyBorder="1" applyAlignment="1">
      <alignment wrapText="1"/>
    </xf>
    <xf numFmtId="179" fontId="41" fillId="0" borderId="0" xfId="0" applyNumberFormat="1" applyFont="1" applyAlignment="1">
      <alignment wrapText="1"/>
    </xf>
    <xf numFmtId="179" fontId="41" fillId="0" borderId="41" xfId="0" applyNumberFormat="1" applyFont="1" applyBorder="1" applyAlignment="1">
      <alignment wrapText="1"/>
    </xf>
    <xf numFmtId="0" fontId="8" fillId="14" borderId="0" xfId="0" applyFont="1" applyFill="1" applyAlignment="1">
      <alignment wrapText="1"/>
    </xf>
    <xf numFmtId="169" fontId="26" fillId="13" borderId="4" xfId="0" applyNumberFormat="1" applyFont="1" applyFill="1" applyBorder="1" applyAlignment="1">
      <alignment vertical="center" wrapText="1"/>
    </xf>
    <xf numFmtId="168" fontId="39" fillId="24" borderId="43" xfId="0" applyNumberFormat="1" applyFont="1" applyFill="1" applyBorder="1" applyAlignment="1">
      <alignment horizontal="center" vertical="center"/>
    </xf>
    <xf numFmtId="168" fontId="39" fillId="24" borderId="44" xfId="0" applyNumberFormat="1" applyFont="1" applyFill="1" applyBorder="1" applyAlignment="1">
      <alignment horizontal="center" vertical="center"/>
    </xf>
    <xf numFmtId="168" fontId="39" fillId="24" borderId="45" xfId="0" applyNumberFormat="1" applyFont="1" applyFill="1" applyBorder="1" applyAlignment="1">
      <alignment horizontal="center" vertical="center"/>
    </xf>
    <xf numFmtId="179" fontId="9" fillId="3" borderId="49" xfId="0" applyNumberFormat="1" applyFont="1" applyFill="1" applyBorder="1" applyAlignment="1">
      <alignment horizontal="center" vertical="center"/>
    </xf>
    <xf numFmtId="179" fontId="9" fillId="3" borderId="11" xfId="0" applyNumberFormat="1" applyFont="1" applyFill="1" applyBorder="1" applyAlignment="1">
      <alignment horizontal="center" vertical="center"/>
    </xf>
    <xf numFmtId="179" fontId="9" fillId="3" borderId="10" xfId="0" applyNumberFormat="1" applyFont="1" applyFill="1" applyBorder="1" applyAlignment="1">
      <alignment horizontal="center" vertical="center"/>
    </xf>
    <xf numFmtId="179" fontId="9" fillId="3" borderId="50" xfId="0" applyNumberFormat="1" applyFont="1" applyFill="1" applyBorder="1" applyAlignment="1">
      <alignment horizontal="center" vertical="center"/>
    </xf>
    <xf numFmtId="179" fontId="9" fillId="3" borderId="46" xfId="0" applyNumberFormat="1" applyFont="1" applyFill="1" applyBorder="1" applyAlignment="1">
      <alignment horizontal="center" vertical="center"/>
    </xf>
    <xf numFmtId="179" fontId="9" fillId="3" borderId="51" xfId="0" applyNumberFormat="1" applyFont="1" applyFill="1" applyBorder="1" applyAlignment="1">
      <alignment horizontal="center" vertical="center"/>
    </xf>
    <xf numFmtId="179" fontId="9" fillId="3" borderId="52" xfId="0" applyNumberFormat="1" applyFont="1" applyFill="1" applyBorder="1" applyAlignment="1">
      <alignment horizontal="center" vertical="center"/>
    </xf>
    <xf numFmtId="179" fontId="9" fillId="3" borderId="16" xfId="0" applyNumberFormat="1" applyFont="1" applyFill="1" applyBorder="1" applyAlignment="1">
      <alignment horizontal="center" vertical="center"/>
    </xf>
    <xf numFmtId="179" fontId="9" fillId="3" borderId="53" xfId="0" applyNumberFormat="1" applyFont="1" applyFill="1" applyBorder="1" applyAlignment="1">
      <alignment horizontal="center" vertical="center"/>
    </xf>
    <xf numFmtId="0" fontId="10" fillId="2" borderId="4" xfId="61" applyFont="1" applyFill="1" applyBorder="1" applyAlignment="1">
      <alignment horizontal="center" vertical="center" wrapText="1"/>
    </xf>
    <xf numFmtId="0" fontId="11" fillId="3" borderId="4" xfId="61" applyFont="1" applyFill="1" applyBorder="1" applyAlignment="1">
      <alignment horizontal="center" vertical="center"/>
    </xf>
    <xf numFmtId="0" fontId="12" fillId="0" borderId="4" xfId="61" applyFont="1" applyBorder="1" applyAlignment="1">
      <alignment horizontal="center" vertical="center" wrapText="1"/>
    </xf>
    <xf numFmtId="0" fontId="8" fillId="2" borderId="48" xfId="39" applyFont="1" applyFill="1" applyBorder="1" applyAlignment="1">
      <alignment horizontal="center" vertical="center" wrapText="1"/>
    </xf>
    <xf numFmtId="0" fontId="8" fillId="2" borderId="54" xfId="39" applyFont="1" applyFill="1" applyBorder="1" applyAlignment="1">
      <alignment horizontal="center" vertical="center" wrapText="1"/>
    </xf>
    <xf numFmtId="0" fontId="8" fillId="2" borderId="47" xfId="39" applyFont="1" applyFill="1" applyBorder="1" applyAlignment="1">
      <alignment horizontal="center" vertical="center" wrapText="1"/>
    </xf>
    <xf numFmtId="0" fontId="8" fillId="2" borderId="4" xfId="39" applyFont="1" applyFill="1" applyBorder="1" applyAlignment="1">
      <alignment horizontal="center" vertical="center" wrapText="1"/>
    </xf>
    <xf numFmtId="179" fontId="9" fillId="3" borderId="22" xfId="0" applyNumberFormat="1" applyFont="1" applyFill="1" applyBorder="1" applyAlignment="1">
      <alignment horizontal="center" vertical="center"/>
    </xf>
    <xf numFmtId="168" fontId="9" fillId="3" borderId="4" xfId="61" applyNumberFormat="1" applyFont="1" applyFill="1" applyBorder="1" applyAlignment="1">
      <alignment horizontal="center" vertical="center"/>
    </xf>
    <xf numFmtId="168" fontId="9" fillId="3" borderId="22" xfId="61" applyNumberFormat="1" applyFont="1" applyFill="1" applyBorder="1" applyAlignment="1">
      <alignment horizontal="center" vertical="center"/>
    </xf>
    <xf numFmtId="169" fontId="9" fillId="3" borderId="4" xfId="0" applyNumberFormat="1" applyFont="1" applyFill="1" applyBorder="1" applyAlignment="1">
      <alignment horizontal="center" vertical="center"/>
    </xf>
    <xf numFmtId="169" fontId="9" fillId="3" borderId="4" xfId="61" applyNumberFormat="1" applyFont="1" applyFill="1" applyBorder="1" applyAlignment="1">
      <alignment horizontal="center" vertical="center"/>
    </xf>
    <xf numFmtId="0" fontId="10" fillId="5" borderId="8" xfId="38" applyFont="1" applyFill="1" applyBorder="1" applyAlignment="1">
      <alignment horizontal="center" vertical="center"/>
    </xf>
    <xf numFmtId="0" fontId="14" fillId="0" borderId="0" xfId="37" applyFont="1" applyAlignment="1">
      <alignment vertical="center" wrapText="1"/>
    </xf>
    <xf numFmtId="0" fontId="8" fillId="7" borderId="4" xfId="37" applyFont="1" applyFill="1" applyBorder="1" applyAlignment="1">
      <alignment vertical="center" wrapText="1"/>
    </xf>
    <xf numFmtId="0" fontId="5" fillId="3" borderId="4" xfId="37" applyFont="1" applyFill="1" applyBorder="1" applyAlignment="1">
      <alignment vertical="center" wrapText="1"/>
    </xf>
    <xf numFmtId="0" fontId="37" fillId="13" borderId="23" xfId="0" applyFont="1" applyFill="1" applyBorder="1" applyAlignment="1">
      <alignment horizontal="left" vertical="center" wrapText="1"/>
    </xf>
    <xf numFmtId="0" fontId="37" fillId="13" borderId="24" xfId="0" applyFont="1" applyFill="1" applyBorder="1" applyAlignment="1">
      <alignment horizontal="left" vertical="center" wrapText="1"/>
    </xf>
    <xf numFmtId="0" fontId="37" fillId="13" borderId="25" xfId="0" applyFont="1" applyFill="1" applyBorder="1" applyAlignment="1">
      <alignment horizontal="left" vertical="center" wrapText="1"/>
    </xf>
    <xf numFmtId="0" fontId="5" fillId="3" borderId="4" xfId="37" applyFont="1" applyFill="1" applyBorder="1" applyAlignment="1">
      <alignment horizontal="left" vertical="center" wrapText="1"/>
    </xf>
    <xf numFmtId="0" fontId="8" fillId="7" borderId="4" xfId="37" applyFont="1" applyFill="1" applyBorder="1" applyAlignment="1">
      <alignment horizontal="center" vertical="center" wrapText="1"/>
    </xf>
    <xf numFmtId="0" fontId="8" fillId="7" borderId="20" xfId="37" applyFont="1" applyFill="1" applyBorder="1" applyAlignment="1">
      <alignment horizontal="center" vertical="center" wrapText="1"/>
    </xf>
    <xf numFmtId="0" fontId="8" fillId="7" borderId="21" xfId="37" applyFont="1" applyFill="1" applyBorder="1" applyAlignment="1">
      <alignment horizontal="center" vertical="center" wrapText="1"/>
    </xf>
    <xf numFmtId="0" fontId="8" fillId="7" borderId="22" xfId="37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left" vertical="center"/>
    </xf>
    <xf numFmtId="0" fontId="38" fillId="19" borderId="0" xfId="0" applyFont="1" applyFill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2" fillId="18" borderId="46" xfId="0" applyFont="1" applyFill="1" applyBorder="1" applyAlignment="1">
      <alignment horizontal="center" vertical="center" wrapText="1"/>
    </xf>
    <xf numFmtId="0" fontId="11" fillId="3" borderId="48" xfId="61" applyFont="1" applyFill="1" applyBorder="1" applyAlignment="1">
      <alignment horizontal="center" vertical="center"/>
    </xf>
    <xf numFmtId="0" fontId="12" fillId="0" borderId="56" xfId="61" applyFont="1" applyBorder="1" applyAlignment="1">
      <alignment horizontal="center" vertical="center" wrapText="1"/>
    </xf>
    <xf numFmtId="0" fontId="12" fillId="18" borderId="49" xfId="0" applyFont="1" applyFill="1" applyBorder="1" applyAlignment="1">
      <alignment horizontal="center" vertical="center" wrapText="1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10" xfId="0" applyFont="1" applyFill="1" applyBorder="1" applyAlignment="1">
      <alignment horizontal="center" vertical="center" wrapText="1"/>
    </xf>
    <xf numFmtId="0" fontId="12" fillId="18" borderId="50" xfId="0" applyFont="1" applyFill="1" applyBorder="1" applyAlignment="1">
      <alignment horizontal="center" vertical="center" wrapText="1"/>
    </xf>
    <xf numFmtId="0" fontId="12" fillId="18" borderId="51" xfId="0" applyFont="1" applyFill="1" applyBorder="1" applyAlignment="1">
      <alignment horizontal="center" vertical="center" wrapText="1"/>
    </xf>
    <xf numFmtId="0" fontId="12" fillId="18" borderId="52" xfId="0" applyFont="1" applyFill="1" applyBorder="1" applyAlignment="1">
      <alignment horizontal="center" vertical="center" wrapText="1"/>
    </xf>
    <xf numFmtId="0" fontId="12" fillId="18" borderId="16" xfId="0" applyFont="1" applyFill="1" applyBorder="1" applyAlignment="1">
      <alignment horizontal="center" vertical="center" wrapText="1"/>
    </xf>
    <xf numFmtId="0" fontId="12" fillId="18" borderId="53" xfId="0" applyFont="1" applyFill="1" applyBorder="1" applyAlignment="1">
      <alignment horizontal="center" vertical="center" wrapText="1"/>
    </xf>
    <xf numFmtId="0" fontId="6" fillId="2" borderId="1" xfId="61" applyFont="1" applyFill="1" applyBorder="1" applyAlignment="1">
      <alignment horizontal="center" vertical="center"/>
    </xf>
    <xf numFmtId="0" fontId="6" fillId="2" borderId="2" xfId="61" applyFont="1" applyFill="1" applyBorder="1" applyAlignment="1">
      <alignment horizontal="center" vertical="center"/>
    </xf>
    <xf numFmtId="0" fontId="6" fillId="2" borderId="3" xfId="61" applyFont="1" applyFill="1" applyBorder="1" applyAlignment="1">
      <alignment horizontal="center" vertical="center"/>
    </xf>
    <xf numFmtId="0" fontId="10" fillId="24" borderId="18" xfId="0" applyFont="1" applyFill="1" applyBorder="1" applyAlignment="1">
      <alignment horizontal="center" vertical="center" wrapText="1"/>
    </xf>
    <xf numFmtId="0" fontId="10" fillId="24" borderId="14" xfId="0" applyFont="1" applyFill="1" applyBorder="1" applyAlignment="1">
      <alignment horizontal="center" vertical="center" wrapText="1"/>
    </xf>
    <xf numFmtId="0" fontId="10" fillId="24" borderId="13" xfId="0" applyFont="1" applyFill="1" applyBorder="1" applyAlignment="1">
      <alignment horizontal="center" vertical="center" wrapText="1"/>
    </xf>
    <xf numFmtId="179" fontId="44" fillId="23" borderId="60" xfId="0" applyNumberFormat="1" applyFont="1" applyFill="1" applyBorder="1" applyAlignment="1">
      <alignment horizontal="right" vertical="center"/>
    </xf>
    <xf numFmtId="179" fontId="44" fillId="23" borderId="61" xfId="0" applyNumberFormat="1" applyFont="1" applyFill="1" applyBorder="1" applyAlignment="1">
      <alignment horizontal="right" vertical="center"/>
    </xf>
    <xf numFmtId="179" fontId="44" fillId="23" borderId="63" xfId="0" applyNumberFormat="1" applyFont="1" applyFill="1" applyBorder="1" applyAlignment="1">
      <alignment horizontal="right" vertical="center"/>
    </xf>
    <xf numFmtId="0" fontId="8" fillId="25" borderId="11" xfId="0" applyFont="1" applyFill="1" applyBorder="1" applyAlignment="1">
      <alignment horizontal="center" vertical="center" wrapText="1"/>
    </xf>
    <xf numFmtId="0" fontId="8" fillId="25" borderId="10" xfId="0" applyFont="1" applyFill="1" applyBorder="1" applyAlignment="1">
      <alignment horizontal="center" vertical="center" wrapText="1"/>
    </xf>
    <xf numFmtId="0" fontId="8" fillId="25" borderId="49" xfId="0" applyFont="1" applyFill="1" applyBorder="1" applyAlignment="1">
      <alignment horizontal="center" vertical="center" wrapText="1"/>
    </xf>
    <xf numFmtId="0" fontId="44" fillId="23" borderId="60" xfId="0" applyFont="1" applyFill="1" applyBorder="1" applyAlignment="1">
      <alignment horizontal="left" vertical="center" wrapText="1"/>
    </xf>
    <xf numFmtId="0" fontId="5" fillId="20" borderId="65" xfId="0" applyFont="1" applyFill="1" applyBorder="1" applyAlignment="1">
      <alignment horizontal="left" vertical="center" wrapText="1"/>
    </xf>
    <xf numFmtId="179" fontId="5" fillId="20" borderId="66" xfId="0" applyNumberFormat="1" applyFont="1" applyFill="1" applyBorder="1" applyAlignment="1">
      <alignment horizontal="right" vertical="center"/>
    </xf>
    <xf numFmtId="179" fontId="5" fillId="20" borderId="67" xfId="0" applyNumberFormat="1" applyFont="1" applyFill="1" applyBorder="1" applyAlignment="1">
      <alignment horizontal="right" vertical="center"/>
    </xf>
    <xf numFmtId="179" fontId="5" fillId="20" borderId="65" xfId="0" applyNumberFormat="1" applyFont="1" applyFill="1" applyBorder="1" applyAlignment="1">
      <alignment horizontal="right" vertical="center"/>
    </xf>
    <xf numFmtId="0" fontId="8" fillId="29" borderId="12" xfId="0" applyFont="1" applyFill="1" applyBorder="1" applyAlignment="1">
      <alignment horizontal="center" vertical="center" wrapText="1"/>
    </xf>
    <xf numFmtId="0" fontId="45" fillId="27" borderId="68" xfId="0" applyFont="1" applyFill="1" applyBorder="1" applyAlignment="1">
      <alignment horizontal="left" vertical="center" wrapText="1"/>
    </xf>
    <xf numFmtId="179" fontId="45" fillId="27" borderId="69" xfId="0" applyNumberFormat="1" applyFont="1" applyFill="1" applyBorder="1" applyAlignment="1">
      <alignment horizontal="right" vertical="center"/>
    </xf>
    <xf numFmtId="179" fontId="45" fillId="27" borderId="70" xfId="0" applyNumberFormat="1" applyFont="1" applyFill="1" applyBorder="1" applyAlignment="1">
      <alignment horizontal="right" vertical="center"/>
    </xf>
    <xf numFmtId="179" fontId="45" fillId="27" borderId="68" xfId="0" applyNumberFormat="1" applyFont="1" applyFill="1" applyBorder="1" applyAlignment="1">
      <alignment horizontal="right" vertical="center"/>
    </xf>
    <xf numFmtId="0" fontId="8" fillId="25" borderId="18" xfId="0" applyFont="1" applyFill="1" applyBorder="1" applyAlignment="1">
      <alignment horizontal="center" vertical="center" wrapText="1"/>
    </xf>
    <xf numFmtId="0" fontId="8" fillId="25" borderId="14" xfId="0" applyFont="1" applyFill="1" applyBorder="1" applyAlignment="1">
      <alignment horizontal="center" vertical="center" wrapText="1"/>
    </xf>
    <xf numFmtId="0" fontId="8" fillId="25" borderId="13" xfId="0" applyFont="1" applyFill="1" applyBorder="1" applyAlignment="1">
      <alignment horizontal="center" vertical="center" wrapText="1"/>
    </xf>
    <xf numFmtId="0" fontId="43" fillId="20" borderId="65" xfId="0" applyFont="1" applyFill="1" applyBorder="1" applyAlignment="1">
      <alignment horizontal="left" vertical="center" wrapText="1"/>
    </xf>
    <xf numFmtId="0" fontId="43" fillId="20" borderId="64" xfId="0" applyFont="1" applyFill="1" applyBorder="1" applyAlignment="1">
      <alignment horizontal="left" vertical="center" wrapText="1"/>
    </xf>
    <xf numFmtId="0" fontId="43" fillId="20" borderId="71" xfId="0" applyFont="1" applyFill="1" applyBorder="1" applyAlignment="1">
      <alignment horizontal="left" vertical="center" wrapText="1"/>
    </xf>
    <xf numFmtId="0" fontId="43" fillId="20" borderId="72" xfId="0" applyFont="1" applyFill="1" applyBorder="1" applyAlignment="1">
      <alignment horizontal="left" vertical="center" wrapText="1"/>
    </xf>
    <xf numFmtId="0" fontId="45" fillId="26" borderId="15" xfId="0" applyFont="1" applyFill="1" applyBorder="1" applyAlignment="1">
      <alignment horizontal="left" vertical="center" wrapText="1"/>
    </xf>
    <xf numFmtId="179" fontId="43" fillId="20" borderId="65" xfId="0" applyNumberFormat="1" applyFont="1" applyFill="1" applyBorder="1" applyAlignment="1">
      <alignment horizontal="right" vertical="center"/>
    </xf>
    <xf numFmtId="179" fontId="43" fillId="20" borderId="64" xfId="0" applyNumberFormat="1" applyFont="1" applyFill="1" applyBorder="1" applyAlignment="1">
      <alignment horizontal="right" vertical="center"/>
    </xf>
    <xf numFmtId="179" fontId="43" fillId="20" borderId="71" xfId="0" applyNumberFormat="1" applyFont="1" applyFill="1" applyBorder="1" applyAlignment="1">
      <alignment horizontal="right" vertical="center"/>
    </xf>
    <xf numFmtId="179" fontId="43" fillId="20" borderId="72" xfId="0" applyNumberFormat="1" applyFont="1" applyFill="1" applyBorder="1" applyAlignment="1">
      <alignment horizontal="right" vertical="center"/>
    </xf>
    <xf numFmtId="179" fontId="45" fillId="26" borderId="15" xfId="0" applyNumberFormat="1" applyFont="1" applyFill="1" applyBorder="1" applyAlignment="1">
      <alignment horizontal="right" vertical="center"/>
    </xf>
    <xf numFmtId="0" fontId="8" fillId="25" borderId="52" xfId="0" applyFont="1" applyFill="1" applyBorder="1" applyAlignment="1">
      <alignment horizontal="center" vertical="center" wrapText="1"/>
    </xf>
    <xf numFmtId="0" fontId="8" fillId="25" borderId="16" xfId="0" applyFont="1" applyFill="1" applyBorder="1" applyAlignment="1">
      <alignment horizontal="center" vertical="center" wrapText="1"/>
    </xf>
    <xf numFmtId="0" fontId="8" fillId="25" borderId="53" xfId="0" applyFont="1" applyFill="1" applyBorder="1" applyAlignment="1">
      <alignment horizontal="center" vertical="center" wrapText="1"/>
    </xf>
    <xf numFmtId="0" fontId="46" fillId="28" borderId="17" xfId="0" applyFont="1" applyFill="1" applyBorder="1" applyAlignment="1">
      <alignment horizontal="left" vertical="center"/>
    </xf>
    <xf numFmtId="0" fontId="12" fillId="21" borderId="73" xfId="0" applyFont="1" applyFill="1" applyBorder="1" applyAlignment="1">
      <alignment horizontal="left" vertical="center"/>
    </xf>
    <xf numFmtId="0" fontId="12" fillId="22" borderId="74" xfId="0" applyFont="1" applyFill="1" applyBorder="1" applyAlignment="1">
      <alignment horizontal="left" vertical="center"/>
    </xf>
    <xf numFmtId="179" fontId="46" fillId="28" borderId="17" xfId="0" applyNumberFormat="1" applyFont="1" applyFill="1" applyBorder="1" applyAlignment="1">
      <alignment horizontal="right" vertical="center"/>
    </xf>
    <xf numFmtId="178" fontId="12" fillId="21" borderId="73" xfId="0" applyNumberFormat="1" applyFont="1" applyFill="1" applyBorder="1" applyAlignment="1">
      <alignment horizontal="right" vertical="center"/>
    </xf>
    <xf numFmtId="179" fontId="12" fillId="22" borderId="74" xfId="0" applyNumberFormat="1" applyFont="1" applyFill="1" applyBorder="1" applyAlignment="1">
      <alignment horizontal="right" vertical="center"/>
    </xf>
    <xf numFmtId="0" fontId="8" fillId="29" borderId="18" xfId="0" applyFont="1" applyFill="1" applyBorder="1" applyAlignment="1">
      <alignment horizontal="center" vertical="center"/>
    </xf>
    <xf numFmtId="0" fontId="8" fillId="29" borderId="14" xfId="0" applyFont="1" applyFill="1" applyBorder="1" applyAlignment="1">
      <alignment horizontal="center" vertical="center"/>
    </xf>
    <xf numFmtId="0" fontId="8" fillId="29" borderId="13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left" vertical="center" wrapText="1"/>
    </xf>
    <xf numFmtId="0" fontId="8" fillId="29" borderId="12" xfId="0" applyFont="1" applyFill="1" applyBorder="1" applyAlignment="1">
      <alignment horizontal="center" vertical="center"/>
    </xf>
    <xf numFmtId="1" fontId="42" fillId="18" borderId="65" xfId="0" applyNumberFormat="1" applyFont="1" applyFill="1" applyBorder="1" applyAlignment="1">
      <alignment horizontal="right" vertical="center" wrapText="1"/>
    </xf>
    <xf numFmtId="1" fontId="42" fillId="18" borderId="64" xfId="0" applyNumberFormat="1" applyFont="1" applyFill="1" applyBorder="1" applyAlignment="1">
      <alignment horizontal="right" vertical="center" wrapText="1"/>
    </xf>
    <xf numFmtId="1" fontId="42" fillId="18" borderId="75" xfId="0" applyNumberFormat="1" applyFont="1" applyFill="1" applyBorder="1" applyAlignment="1">
      <alignment horizontal="right" vertical="center" wrapText="1"/>
    </xf>
    <xf numFmtId="1" fontId="17" fillId="0" borderId="12" xfId="0" applyNumberFormat="1" applyFont="1" applyFill="1" applyBorder="1" applyAlignment="1">
      <alignment horizontal="right" vertical="center" wrapText="1"/>
    </xf>
    <xf numFmtId="1" fontId="42" fillId="18" borderId="15" xfId="0" applyNumberFormat="1" applyFont="1" applyFill="1" applyBorder="1" applyAlignment="1">
      <alignment horizontal="right" vertical="center" wrapText="1"/>
    </xf>
    <xf numFmtId="1" fontId="42" fillId="18" borderId="67" xfId="0" applyNumberFormat="1" applyFont="1" applyFill="1" applyBorder="1" applyAlignment="1">
      <alignment horizontal="right" vertical="center" wrapText="1"/>
    </xf>
    <xf numFmtId="1" fontId="42" fillId="18" borderId="21" xfId="0" applyNumberFormat="1" applyFont="1" applyFill="1" applyBorder="1" applyAlignment="1">
      <alignment horizontal="right" vertical="center" wrapText="1"/>
    </xf>
    <xf numFmtId="1" fontId="42" fillId="18" borderId="55" xfId="0" applyNumberFormat="1" applyFont="1" applyFill="1" applyBorder="1" applyAlignment="1">
      <alignment horizontal="right" vertical="center" wrapText="1"/>
    </xf>
    <xf numFmtId="1" fontId="17" fillId="0" borderId="14" xfId="0" applyNumberFormat="1" applyFont="1" applyFill="1" applyBorder="1" applyAlignment="1">
      <alignment horizontal="right" vertical="center" wrapText="1"/>
    </xf>
    <xf numFmtId="1" fontId="17" fillId="0" borderId="13" xfId="0" applyNumberFormat="1" applyFont="1" applyFill="1" applyBorder="1" applyAlignment="1">
      <alignment horizontal="right" vertical="center" wrapText="1"/>
    </xf>
    <xf numFmtId="10" fontId="42" fillId="18" borderId="15" xfId="0" applyNumberFormat="1" applyFont="1" applyFill="1" applyBorder="1" applyAlignment="1">
      <alignment horizontal="right" vertical="center" wrapText="1"/>
    </xf>
    <xf numFmtId="0" fontId="42" fillId="18" borderId="76" xfId="0" applyFont="1" applyFill="1" applyBorder="1" applyAlignment="1">
      <alignment horizontal="left" vertical="center" wrapText="1"/>
    </xf>
    <xf numFmtId="1" fontId="42" fillId="18" borderId="66" xfId="0" applyNumberFormat="1" applyFont="1" applyFill="1" applyBorder="1" applyAlignment="1">
      <alignment horizontal="right" vertical="center" wrapText="1"/>
    </xf>
    <xf numFmtId="0" fontId="42" fillId="18" borderId="59" xfId="0" applyFont="1" applyFill="1" applyBorder="1" applyAlignment="1">
      <alignment horizontal="left" vertical="center" wrapText="1"/>
    </xf>
    <xf numFmtId="1" fontId="42" fillId="18" borderId="62" xfId="0" applyNumberFormat="1" applyFont="1" applyFill="1" applyBorder="1" applyAlignment="1">
      <alignment horizontal="right" vertical="center" wrapText="1"/>
    </xf>
    <xf numFmtId="0" fontId="42" fillId="18" borderId="77" xfId="0" applyFont="1" applyFill="1" applyBorder="1" applyAlignment="1">
      <alignment horizontal="left" vertical="center" wrapText="1"/>
    </xf>
    <xf numFmtId="1" fontId="42" fillId="18" borderId="78" xfId="0" applyNumberFormat="1" applyFont="1" applyFill="1" applyBorder="1" applyAlignment="1">
      <alignment horizontal="right" vertical="center" wrapText="1"/>
    </xf>
    <xf numFmtId="0" fontId="42" fillId="18" borderId="52" xfId="0" applyFont="1" applyFill="1" applyBorder="1" applyAlignment="1">
      <alignment horizontal="left" vertical="center" wrapText="1"/>
    </xf>
    <xf numFmtId="10" fontId="42" fillId="18" borderId="16" xfId="0" applyNumberFormat="1" applyFont="1" applyFill="1" applyBorder="1" applyAlignment="1">
      <alignment horizontal="right" vertical="center" wrapText="1"/>
    </xf>
    <xf numFmtId="10" fontId="42" fillId="18" borderId="53" xfId="0" applyNumberFormat="1" applyFont="1" applyFill="1" applyBorder="1" applyAlignment="1">
      <alignment horizontal="right" vertical="center" wrapText="1"/>
    </xf>
    <xf numFmtId="0" fontId="47" fillId="30" borderId="12" xfId="0" applyFont="1" applyFill="1" applyBorder="1" applyAlignment="1">
      <alignment horizontal="center" vertical="center" wrapText="1"/>
    </xf>
    <xf numFmtId="0" fontId="47" fillId="30" borderId="57" xfId="0" applyFont="1" applyFill="1" applyBorder="1" applyAlignment="1">
      <alignment horizontal="center" vertical="center" wrapText="1"/>
    </xf>
    <xf numFmtId="0" fontId="47" fillId="30" borderId="58" xfId="0" applyFont="1" applyFill="1" applyBorder="1" applyAlignment="1">
      <alignment horizontal="center" vertical="center" wrapText="1"/>
    </xf>
  </cellXfs>
  <cellStyles count="62">
    <cellStyle name="Гиперссылка" xfId="56" xr:uid="{00000000-0005-0000-0000-000000000000}"/>
    <cellStyle name="Обычный" xfId="0" builtinId="0"/>
    <cellStyle name="Обычный 2" xfId="58" xr:uid="{00000000-0005-0000-0000-000002000000}"/>
    <cellStyle name="Обычный 3" xfId="59" xr:uid="{00000000-0005-0000-0000-000003000000}"/>
    <cellStyle name="Обычный 4" xfId="60" xr:uid="{00000000-0005-0000-0000-000004000000}"/>
    <cellStyle name="Обычный 5" xfId="61" xr:uid="{00000000-0005-0000-0000-000005000000}"/>
    <cellStyle name="Обычный 6" xfId="57" xr:uid="{00000000-0005-0000-0000-000006000000}"/>
    <cellStyle name="Comma" xfId="1" xr:uid="{00000000-0005-0000-0000-000007000000}"/>
    <cellStyle name="Comma [0]" xfId="10" xr:uid="{00000000-0005-0000-0000-000008000000}"/>
    <cellStyle name="Comma [0] 2" xfId="11" xr:uid="{00000000-0005-0000-0000-000009000000}"/>
    <cellStyle name="Comma [0] 3" xfId="12" xr:uid="{00000000-0005-0000-0000-00000A000000}"/>
    <cellStyle name="Comma [0] 4" xfId="13" xr:uid="{00000000-0005-0000-0000-00000B000000}"/>
    <cellStyle name="Comma [0] 5" xfId="14" xr:uid="{00000000-0005-0000-0000-00000C000000}"/>
    <cellStyle name="Comma [0] 6" xfId="15" xr:uid="{00000000-0005-0000-0000-00000D000000}"/>
    <cellStyle name="Comma [0] 7" xfId="16" xr:uid="{00000000-0005-0000-0000-00000E000000}"/>
    <cellStyle name="Comma [0] 8" xfId="17" xr:uid="{00000000-0005-0000-0000-00000F000000}"/>
    <cellStyle name="Comma [0] 9" xfId="18" xr:uid="{00000000-0005-0000-0000-000010000000}"/>
    <cellStyle name="Comma 1" xfId="2" xr:uid="{00000000-0005-0000-0000-000011000000}"/>
    <cellStyle name="Comma 2" xfId="3" xr:uid="{00000000-0005-0000-0000-000012000000}"/>
    <cellStyle name="Comma 3" xfId="4" xr:uid="{00000000-0005-0000-0000-000013000000}"/>
    <cellStyle name="Comma 4" xfId="5" xr:uid="{00000000-0005-0000-0000-000014000000}"/>
    <cellStyle name="Comma 5" xfId="6" xr:uid="{00000000-0005-0000-0000-000015000000}"/>
    <cellStyle name="Comma 6" xfId="7" xr:uid="{00000000-0005-0000-0000-000016000000}"/>
    <cellStyle name="Comma 7" xfId="8" xr:uid="{00000000-0005-0000-0000-000017000000}"/>
    <cellStyle name="Comma 8" xfId="9" xr:uid="{00000000-0005-0000-0000-000018000000}"/>
    <cellStyle name="Currency" xfId="19" xr:uid="{00000000-0005-0000-0000-000019000000}"/>
    <cellStyle name="Currency [0]" xfId="28" xr:uid="{00000000-0005-0000-0000-00001A000000}"/>
    <cellStyle name="Currency [0] 10" xfId="29" xr:uid="{00000000-0005-0000-0000-00001B000000}"/>
    <cellStyle name="Currency [0] 11" xfId="30" xr:uid="{00000000-0005-0000-0000-00001C000000}"/>
    <cellStyle name="Currency [0] 4" xfId="31" xr:uid="{00000000-0005-0000-0000-00001D000000}"/>
    <cellStyle name="Currency [0] 5" xfId="32" xr:uid="{00000000-0005-0000-0000-00001E000000}"/>
    <cellStyle name="Currency [0] 6" xfId="33" xr:uid="{00000000-0005-0000-0000-00001F000000}"/>
    <cellStyle name="Currency [0] 7" xfId="34" xr:uid="{00000000-0005-0000-0000-000020000000}"/>
    <cellStyle name="Currency [0] 8" xfId="35" xr:uid="{00000000-0005-0000-0000-000021000000}"/>
    <cellStyle name="Currency [0] 9" xfId="36" xr:uid="{00000000-0005-0000-0000-000022000000}"/>
    <cellStyle name="Currency 10" xfId="20" xr:uid="{00000000-0005-0000-0000-000023000000}"/>
    <cellStyle name="Currency 3" xfId="21" xr:uid="{00000000-0005-0000-0000-000024000000}"/>
    <cellStyle name="Currency 4" xfId="22" xr:uid="{00000000-0005-0000-0000-000025000000}"/>
    <cellStyle name="Currency 5" xfId="23" xr:uid="{00000000-0005-0000-0000-000026000000}"/>
    <cellStyle name="Currency 6" xfId="24" xr:uid="{00000000-0005-0000-0000-000027000000}"/>
    <cellStyle name="Currency 7" xfId="25" xr:uid="{00000000-0005-0000-0000-000028000000}"/>
    <cellStyle name="Currency 8" xfId="26" xr:uid="{00000000-0005-0000-0000-000029000000}"/>
    <cellStyle name="Currency 9" xfId="27" xr:uid="{00000000-0005-0000-0000-00002A000000}"/>
    <cellStyle name="Normal" xfId="37" xr:uid="{00000000-0005-0000-0000-00002B000000}"/>
    <cellStyle name="Normal 1" xfId="38" xr:uid="{00000000-0005-0000-0000-00002C000000}"/>
    <cellStyle name="Normal 10" xfId="39" xr:uid="{00000000-0005-0000-0000-00002D000000}"/>
    <cellStyle name="Normal 11" xfId="40" xr:uid="{00000000-0005-0000-0000-00002E000000}"/>
    <cellStyle name="Normal 12" xfId="41" xr:uid="{00000000-0005-0000-0000-00002F000000}"/>
    <cellStyle name="Normal 5" xfId="42" xr:uid="{00000000-0005-0000-0000-000030000000}"/>
    <cellStyle name="Normal 6" xfId="43" xr:uid="{00000000-0005-0000-0000-000031000000}"/>
    <cellStyle name="Normal 7" xfId="44" xr:uid="{00000000-0005-0000-0000-000032000000}"/>
    <cellStyle name="Normal 8" xfId="45" xr:uid="{00000000-0005-0000-0000-000033000000}"/>
    <cellStyle name="Normal 9" xfId="46" xr:uid="{00000000-0005-0000-0000-000034000000}"/>
    <cellStyle name="Percent" xfId="47" xr:uid="{00000000-0005-0000-0000-000035000000}"/>
    <cellStyle name="Percent 10" xfId="48" xr:uid="{00000000-0005-0000-0000-000036000000}"/>
    <cellStyle name="Percent 11" xfId="49" xr:uid="{00000000-0005-0000-0000-000037000000}"/>
    <cellStyle name="Percent 12" xfId="50" xr:uid="{00000000-0005-0000-0000-000038000000}"/>
    <cellStyle name="Percent 13" xfId="51" xr:uid="{00000000-0005-0000-0000-000039000000}"/>
    <cellStyle name="Percent 6" xfId="52" xr:uid="{00000000-0005-0000-0000-00003A000000}"/>
    <cellStyle name="Percent 7" xfId="53" xr:uid="{00000000-0005-0000-0000-00003B000000}"/>
    <cellStyle name="Percent 8" xfId="54" xr:uid="{00000000-0005-0000-0000-00003C000000}"/>
    <cellStyle name="Percent 9" xfId="55" xr:uid="{00000000-0005-0000-0000-00003D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178255"/>
      <rgbColor rgb="FF800080"/>
      <rgbColor rgb="FF008750"/>
      <rgbColor rgb="FFBFBFBF"/>
      <rgbColor rgb="FF569678"/>
      <rgbColor rgb="FFD9E2F3"/>
      <rgbColor rgb="FF993366"/>
      <rgbColor rgb="FFFFF2CC"/>
      <rgbColor rgb="FFE3F1EB"/>
      <rgbColor rgb="FF660066"/>
      <rgbColor rgb="FFF7F9FB"/>
      <rgbColor rgb="FF0563C1"/>
      <rgbColor rgb="FFC9D2DC"/>
      <rgbColor rgb="FF1D4266"/>
      <rgbColor rgb="FFFF00FF"/>
      <rgbColor rgb="FFFFF200"/>
      <rgbColor rgb="FF00FFFF"/>
      <rgbColor rgb="FF800080"/>
      <rgbColor rgb="FF800000"/>
      <rgbColor rgb="FF168257"/>
      <rgbColor rgb="FF0000FF"/>
      <rgbColor rgb="FF00CCFF"/>
      <rgbColor rgb="FFE3F1E9"/>
      <rgbColor rgb="FFE2F0E9"/>
      <rgbColor rgb="FFFDEADA"/>
      <rgbColor rgb="FFA7B5C7"/>
      <rgbColor rgb="FFD0D5DD"/>
      <rgbColor rgb="FFB3B3B3"/>
      <rgbColor rgb="FFD9D9D9"/>
      <rgbColor rgb="FF558ED5"/>
      <rgbColor rgb="FF33CCCC"/>
      <rgbColor rgb="FF99CC00"/>
      <rgbColor rgb="FFFFC000"/>
      <rgbColor rgb="FFFF9900"/>
      <rgbColor rgb="FFFF6600"/>
      <rgbColor rgb="FF5B7C99"/>
      <rgbColor rgb="FFA6A6A6"/>
      <rgbColor rgb="FF17365D"/>
      <rgbColor rgb="FF559577"/>
      <rgbColor rgb="FF17375E"/>
      <rgbColor rgb="FF344054"/>
      <rgbColor rgb="FF993300"/>
      <rgbColor rgb="FF993366"/>
      <rgbColor rgb="FF1D4268"/>
      <rgbColor rgb="FF1F29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34D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Операционная прибыль, ₽/мес.</a:t>
            </a:r>
          </a:p>
        </c:rich>
      </c:tx>
      <c:layout>
        <c:manualLayout>
          <c:xMode val="edge"/>
          <c:yMode val="edge"/>
          <c:x val="0.24199975100376606"/>
          <c:y val="5.016818852283521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82995113448909"/>
          <c:y val="0.15569282531700107"/>
          <c:w val="0.85996000497992486"/>
          <c:h val="0.80241397209068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Итоги!$K$25</c:f>
              <c:strCache>
                <c:ptCount val="1"/>
                <c:pt idx="0">
                  <c:v>Операционная прибыль</c:v>
                </c:pt>
              </c:strCache>
            </c:strRef>
          </c:tx>
          <c:spPr>
            <a:solidFill>
              <a:srgbClr val="569678"/>
            </a:solidFill>
            <a:ln w="12600">
              <a:solidFill>
                <a:srgbClr val="569678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A6A6A6"/>
              </a:solidFill>
              <a:ln w="12600">
                <a:solidFill>
                  <a:schemeClr val="lt1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56A-4E43-A429-53351584861E}"/>
              </c:ext>
            </c:extLst>
          </c:dPt>
          <c:dPt>
            <c:idx val="1"/>
            <c:invertIfNegative val="1"/>
            <c:bubble3D val="0"/>
            <c:spPr>
              <a:solidFill>
                <a:srgbClr val="559577"/>
              </a:solidFill>
              <a:ln w="12600">
                <a:solidFill>
                  <a:srgbClr val="55957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56A-4E43-A429-53351584861E}"/>
              </c:ext>
            </c:extLst>
          </c:dPt>
          <c:dPt>
            <c:idx val="2"/>
            <c:invertIfNegative val="1"/>
            <c:bubble3D val="0"/>
            <c:spPr>
              <a:solidFill>
                <a:srgbClr val="558ED5"/>
              </a:solidFill>
              <a:ln w="12600">
                <a:solidFill>
                  <a:srgbClr val="56967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56A-4E43-A429-53351584861E}"/>
              </c:ext>
            </c:extLst>
          </c:dPt>
          <c:dPt>
            <c:idx val="3"/>
            <c:invertIfNegative val="1"/>
            <c:bubble3D val="0"/>
            <c:spPr>
              <a:solidFill>
                <a:srgbClr val="FFC000"/>
              </a:solidFill>
              <a:ln w="12600">
                <a:solidFill>
                  <a:srgbClr val="56967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56A-4E43-A429-53351584861E}"/>
              </c:ext>
            </c:extLst>
          </c:dPt>
          <c:dLbls>
            <c:dLbl>
              <c:idx val="0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6A-4E43-A429-53351584861E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6A-4E43-A429-53351584861E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6A-4E43-A429-53351584861E}"/>
                </c:ext>
              </c:extLst>
            </c:dLbl>
            <c:dLbl>
              <c:idx val="3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6A-4E43-A429-53351584861E}"/>
                </c:ext>
              </c:extLst>
            </c:dLbl>
            <c:numFmt formatCode="#,##0&quot; ₽&quot;" sourceLinked="0"/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Итоги!$J$26:$J$29</c:f>
              <c:strCache>
                <c:ptCount val="4"/>
                <c:pt idx="0">
                  <c:v>FBO</c:v>
                </c:pt>
                <c:pt idx="1">
                  <c:v>FBS</c:v>
                </c:pt>
                <c:pt idx="2">
                  <c:v>Гибрид</c:v>
                </c:pt>
                <c:pt idx="3">
                  <c:v>Гибрид с Fulllog</c:v>
                </c:pt>
              </c:strCache>
            </c:strRef>
          </c:cat>
          <c:val>
            <c:numRef>
              <c:f>Итоги!$K$26:$K$29</c:f>
              <c:numCache>
                <c:formatCode>#\ ##0;[Red]\(#\ ##0\);\-</c:formatCode>
                <c:ptCount val="4"/>
                <c:pt idx="0">
                  <c:v>2151647.7130000005</c:v>
                </c:pt>
                <c:pt idx="1">
                  <c:v>2608490.1844999995</c:v>
                </c:pt>
                <c:pt idx="2">
                  <c:v>2938795.1385000004</c:v>
                </c:pt>
                <c:pt idx="3">
                  <c:v>3064646.8394374996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600">
                    <a:solidFill>
                      <a:srgbClr val="569678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56A-4E43-A429-53351584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12499"/>
        <c:axId val="97422569"/>
      </c:barChart>
      <c:catAx>
        <c:axId val="2812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97422569"/>
        <c:crosses val="autoZero"/>
        <c:auto val="1"/>
        <c:lblAlgn val="ctr"/>
        <c:lblOffset val="100"/>
        <c:noMultiLvlLbl val="0"/>
      </c:catAx>
      <c:valAx>
        <c:axId val="974225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\ ##0&quot; ₽&quot;;[Red]\-#\ ##0&quot; ₽&quot;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812499"/>
        <c:crosses val="autoZero"/>
        <c:crossBetween val="between"/>
      </c:valAx>
      <c:spPr>
        <a:ln w="0">
          <a:noFill/>
        </a:ln>
      </c:spPr>
    </c:plotArea>
    <c:plotVisOnly val="1"/>
    <c:dispBlanksAs val="zero"/>
    <c:showDLblsOverMax val="1"/>
  </c:chart>
  <c:spPr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227399</xdr:colOff>
      <xdr:row>18</xdr:row>
      <xdr:rowOff>308516</xdr:rowOff>
    </xdr:from>
    <xdr:to>
      <xdr:col>13</xdr:col>
      <xdr:colOff>45670</xdr:colOff>
      <xdr:row>41</xdr:row>
      <xdr:rowOff>23805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46"/>
  <sheetViews>
    <sheetView showGridLines="0" tabSelected="1" workbookViewId="0">
      <selection activeCell="F17" sqref="F17"/>
    </sheetView>
  </sheetViews>
  <sheetFormatPr baseColWidth="10" defaultColWidth="8.6640625" defaultRowHeight="13" x14ac:dyDescent="0.15"/>
  <cols>
    <col min="1" max="1" width="3" customWidth="1"/>
    <col min="2" max="2" width="34" customWidth="1"/>
    <col min="3" max="5" width="18" customWidth="1"/>
    <col min="6" max="6" width="20" customWidth="1"/>
    <col min="7" max="7" width="3" customWidth="1"/>
    <col min="8" max="13" width="14" customWidth="1"/>
    <col min="14" max="14" width="3" customWidth="1"/>
  </cols>
  <sheetData>
    <row r="1" spans="1:14" x14ac:dyDescent="0.1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"/>
    </row>
    <row r="2" spans="1:14" ht="36" customHeight="1" x14ac:dyDescent="0.15">
      <c r="A2" s="3"/>
      <c r="B2" s="209" t="s">
        <v>0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1"/>
      <c r="N2" s="3"/>
    </row>
    <row r="3" spans="1:14" x14ac:dyDescent="0.15">
      <c r="A3" s="3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"/>
    </row>
    <row r="4" spans="1:14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3"/>
    </row>
    <row r="5" spans="1:14" ht="36" customHeight="1" x14ac:dyDescent="0.15">
      <c r="A5" s="3"/>
      <c r="B5" s="172" t="s">
        <v>1</v>
      </c>
      <c r="C5" s="172"/>
      <c r="D5" s="173"/>
      <c r="E5" s="174" t="s">
        <v>2</v>
      </c>
      <c r="F5" s="172"/>
      <c r="G5" s="172"/>
      <c r="H5" s="175" t="s">
        <v>3</v>
      </c>
      <c r="I5" s="175"/>
      <c r="J5" s="175"/>
      <c r="K5" s="175" t="s">
        <v>4</v>
      </c>
      <c r="L5" s="175"/>
      <c r="M5" s="175"/>
      <c r="N5" s="3"/>
    </row>
    <row r="6" spans="1:14" ht="24" customHeight="1" x14ac:dyDescent="0.15">
      <c r="A6" s="3"/>
      <c r="B6" s="160">
        <f>F22</f>
        <v>13668020</v>
      </c>
      <c r="C6" s="161"/>
      <c r="D6" s="162"/>
      <c r="E6" s="161">
        <f>F24</f>
        <v>7765680</v>
      </c>
      <c r="F6" s="161"/>
      <c r="G6" s="162"/>
      <c r="H6" s="176">
        <f>F42</f>
        <v>3064646.8394374996</v>
      </c>
      <c r="I6" s="177"/>
      <c r="J6" s="177"/>
      <c r="K6" s="179">
        <f>F43</f>
        <v>0.22422024839278107</v>
      </c>
      <c r="L6" s="180"/>
      <c r="M6" s="180"/>
      <c r="N6" s="3"/>
    </row>
    <row r="7" spans="1:14" ht="24" customHeight="1" x14ac:dyDescent="0.15">
      <c r="A7" s="3"/>
      <c r="B7" s="163"/>
      <c r="C7" s="164"/>
      <c r="D7" s="165"/>
      <c r="E7" s="164"/>
      <c r="F7" s="164"/>
      <c r="G7" s="165"/>
      <c r="H7" s="178"/>
      <c r="I7" s="177"/>
      <c r="J7" s="177"/>
      <c r="K7" s="180"/>
      <c r="L7" s="180"/>
      <c r="M7" s="180"/>
      <c r="N7" s="3"/>
    </row>
    <row r="8" spans="1:14" ht="24" customHeight="1" x14ac:dyDescent="0.15">
      <c r="A8" s="3"/>
      <c r="B8" s="166"/>
      <c r="C8" s="167"/>
      <c r="D8" s="168"/>
      <c r="E8" s="167"/>
      <c r="F8" s="167"/>
      <c r="G8" s="168"/>
      <c r="H8" s="178"/>
      <c r="I8" s="177"/>
      <c r="J8" s="177"/>
      <c r="K8" s="180"/>
      <c r="L8" s="180"/>
      <c r="M8" s="180"/>
      <c r="N8" s="3"/>
    </row>
    <row r="9" spans="1:14" ht="22" customHeight="1" x14ac:dyDescent="0.15">
      <c r="A9" s="3"/>
      <c r="G9" s="4"/>
      <c r="H9" s="4"/>
      <c r="I9" s="4"/>
      <c r="J9" s="4"/>
      <c r="K9" s="4"/>
      <c r="L9" s="4"/>
      <c r="M9" s="4"/>
      <c r="N9" s="3"/>
    </row>
    <row r="10" spans="1:14" ht="34" customHeight="1" x14ac:dyDescent="0.15">
      <c r="A10" s="3"/>
      <c r="B10" s="157" t="s">
        <v>5</v>
      </c>
      <c r="C10" s="158"/>
      <c r="D10" s="158"/>
      <c r="E10" s="158"/>
      <c r="F10" s="159"/>
      <c r="G10" s="4"/>
      <c r="H10" s="169" t="s">
        <v>6</v>
      </c>
      <c r="I10" s="169"/>
      <c r="J10" s="169"/>
      <c r="K10" s="169"/>
      <c r="L10" s="169"/>
      <c r="M10" s="169"/>
      <c r="N10" s="3"/>
    </row>
    <row r="11" spans="1:14" ht="24" customHeight="1" x14ac:dyDescent="0.15">
      <c r="A11" s="3"/>
      <c r="B11" s="253" t="s">
        <v>7</v>
      </c>
      <c r="C11" s="257" t="s">
        <v>8</v>
      </c>
      <c r="D11" s="254" t="s">
        <v>9</v>
      </c>
      <c r="E11" s="257" t="s">
        <v>10</v>
      </c>
      <c r="F11" s="255" t="s">
        <v>11</v>
      </c>
      <c r="G11" s="4"/>
      <c r="H11" s="170" t="str">
        <f>IF(MAX(C42:F42)=F42,"Гибрид с Fulllog (3PL)",IF(MAX(C42:F42)=E42,"Гибрид",IF(MAX(C42:F42)=D42,"FBS","FBO")))</f>
        <v>Гибрид с Fulllog (3PL)</v>
      </c>
      <c r="I11" s="170"/>
      <c r="J11" s="170"/>
      <c r="K11" s="170"/>
      <c r="L11" s="170"/>
      <c r="M11" s="170"/>
      <c r="N11" s="3"/>
    </row>
    <row r="12" spans="1:14" ht="24" customHeight="1" x14ac:dyDescent="0.15">
      <c r="A12" s="3"/>
      <c r="B12" s="269" t="s">
        <v>12</v>
      </c>
      <c r="C12" s="258">
        <f>COUNTIF(Модель!$S$5:$S$44,"&lt;&gt;Пауза")</f>
        <v>38</v>
      </c>
      <c r="D12" s="263">
        <f>0</f>
        <v>0</v>
      </c>
      <c r="E12" s="258">
        <f>COUNTIF(Модель!$S$5:$S$44,"FBO")</f>
        <v>17</v>
      </c>
      <c r="F12" s="270">
        <f>E12</f>
        <v>17</v>
      </c>
      <c r="G12" s="4"/>
      <c r="H12" s="199"/>
      <c r="I12" s="199"/>
      <c r="J12" s="199"/>
      <c r="K12" s="199"/>
      <c r="L12" s="199"/>
      <c r="M12" s="199"/>
      <c r="N12" s="3"/>
    </row>
    <row r="13" spans="1:14" ht="28" customHeight="1" x14ac:dyDescent="0.15">
      <c r="A13" s="3"/>
      <c r="B13" s="271" t="s">
        <v>13</v>
      </c>
      <c r="C13" s="259">
        <f>0</f>
        <v>0</v>
      </c>
      <c r="D13" s="264">
        <f>COUNTIF(Модель!$S$5:$S$44,"&lt;&gt;Пауза")</f>
        <v>38</v>
      </c>
      <c r="E13" s="259">
        <f>COUNTIF(Модель!$S$5:$S$44,"FBS")</f>
        <v>21</v>
      </c>
      <c r="F13" s="272">
        <f>E13</f>
        <v>21</v>
      </c>
      <c r="G13" s="4"/>
      <c r="H13" s="201" t="s">
        <v>14</v>
      </c>
      <c r="I13" s="202"/>
      <c r="J13" s="202"/>
      <c r="K13" s="202"/>
      <c r="L13" s="202"/>
      <c r="M13" s="203"/>
      <c r="N13" s="3"/>
    </row>
    <row r="14" spans="1:14" ht="28" customHeight="1" x14ac:dyDescent="0.15">
      <c r="A14" s="3"/>
      <c r="B14" s="273" t="s">
        <v>15</v>
      </c>
      <c r="C14" s="260">
        <f>COUNTIF(Модель!$S$5:$S$44,"Пауза")</f>
        <v>2</v>
      </c>
      <c r="D14" s="265">
        <f>COUNTIF(Модель!$S$5:$S$44,"Пауза")</f>
        <v>2</v>
      </c>
      <c r="E14" s="260">
        <f>COUNTIF(Модель!$S$5:$S$44,"Пауза")</f>
        <v>2</v>
      </c>
      <c r="F14" s="274">
        <f>COUNTIF(Модель!$S$5:$S$44,"Пауза")</f>
        <v>2</v>
      </c>
      <c r="G14" s="4"/>
      <c r="H14" s="204"/>
      <c r="I14" s="198"/>
      <c r="J14" s="198"/>
      <c r="K14" s="198"/>
      <c r="L14" s="198"/>
      <c r="M14" s="205"/>
      <c r="N14" s="3"/>
    </row>
    <row r="15" spans="1:14" ht="30" customHeight="1" x14ac:dyDescent="0.15">
      <c r="A15" s="3"/>
      <c r="B15" s="256" t="s">
        <v>16</v>
      </c>
      <c r="C15" s="261">
        <f>0</f>
        <v>0</v>
      </c>
      <c r="D15" s="266">
        <f>MAX(ROUNDUP(SUMPRODUCT((Модель!$S$5:$S$44&lt;&gt;"Пауза")*Модель!$AK$5:$AK$44)/Модель!$C$48/Модель!$C$66,0),ROUNDUP(SUMPRODUCT((Модель!$S$5:$S$44&lt;&gt;"Пауза")*Модель!$AY$5:$AY$44)/Модель!$C$48/Модель!$C$67,0))*Модель!$C$48</f>
        <v>30</v>
      </c>
      <c r="E15" s="261">
        <f>MAX(ROUNDUP(SUM(Модель!$U$5:$U$44)/Модель!$C$48/Модель!$C$66,0),ROUNDUP(SUM(Модель!$V$5:$V$44)/Модель!$C$48/Модель!$C$67,0))*Модель!$C$48</f>
        <v>30</v>
      </c>
      <c r="F15" s="267">
        <f>0</f>
        <v>0</v>
      </c>
      <c r="G15" s="4"/>
      <c r="H15" s="206"/>
      <c r="I15" s="207"/>
      <c r="J15" s="207"/>
      <c r="K15" s="207"/>
      <c r="L15" s="207"/>
      <c r="M15" s="208"/>
      <c r="N15" s="3"/>
    </row>
    <row r="16" spans="1:14" ht="24" customHeight="1" x14ac:dyDescent="0.15">
      <c r="A16" s="3"/>
      <c r="B16" s="275" t="s">
        <v>17</v>
      </c>
      <c r="C16" s="262">
        <f>0</f>
        <v>0</v>
      </c>
      <c r="D16" s="276">
        <f>1-Модель!$C$50</f>
        <v>0.9</v>
      </c>
      <c r="E16" s="268">
        <f>1-Модель!$C$50</f>
        <v>0.9</v>
      </c>
      <c r="F16" s="277">
        <f>1-Модель!$C$50</f>
        <v>0.9</v>
      </c>
      <c r="G16" s="4"/>
      <c r="H16" s="200" t="s">
        <v>18</v>
      </c>
      <c r="I16" s="200"/>
      <c r="J16" s="200"/>
      <c r="K16" s="200"/>
      <c r="L16" s="200"/>
      <c r="M16" s="200"/>
      <c r="N16" s="3"/>
    </row>
    <row r="17" spans="1:14" ht="22" customHeight="1" x14ac:dyDescent="0.15">
      <c r="A17" s="3"/>
      <c r="G17" s="4"/>
      <c r="H17" s="171"/>
      <c r="I17" s="171"/>
      <c r="J17" s="171"/>
      <c r="K17" s="171"/>
      <c r="L17" s="171"/>
      <c r="M17" s="171"/>
      <c r="N17" s="3"/>
    </row>
    <row r="18" spans="1:14" ht="22" customHeight="1" x14ac:dyDescent="0.15">
      <c r="A18" s="3"/>
      <c r="B18" s="212" t="s">
        <v>19</v>
      </c>
      <c r="C18" s="213"/>
      <c r="D18" s="213"/>
      <c r="E18" s="213"/>
      <c r="F18" s="214"/>
      <c r="G18" s="4"/>
      <c r="H18" s="171"/>
      <c r="I18" s="171"/>
      <c r="J18" s="171"/>
      <c r="K18" s="171"/>
      <c r="L18" s="171"/>
      <c r="M18" s="171"/>
      <c r="N18" s="3"/>
    </row>
    <row r="19" spans="1:14" ht="10" customHeight="1" x14ac:dyDescent="0.15">
      <c r="A19" s="3"/>
      <c r="G19" s="4"/>
      <c r="H19" s="4"/>
      <c r="I19" s="4"/>
      <c r="J19" s="4"/>
      <c r="K19" s="4"/>
      <c r="L19" s="4"/>
      <c r="M19" s="4"/>
      <c r="N19" s="3"/>
    </row>
    <row r="20" spans="1:14" ht="19" customHeight="1" x14ac:dyDescent="0.15">
      <c r="A20" s="3"/>
      <c r="B20" s="220" t="s">
        <v>20</v>
      </c>
      <c r="C20" s="218"/>
      <c r="D20" s="218"/>
      <c r="E20" s="218"/>
      <c r="F20" s="219"/>
      <c r="G20" s="4"/>
      <c r="H20" s="4"/>
      <c r="I20" s="4"/>
      <c r="J20" s="4"/>
      <c r="K20" s="4"/>
      <c r="L20" s="4"/>
      <c r="M20" s="4"/>
      <c r="N20" s="3"/>
    </row>
    <row r="21" spans="1:14" ht="19" customHeight="1" x14ac:dyDescent="0.15">
      <c r="A21" s="3"/>
      <c r="B21" s="278" t="s">
        <v>21</v>
      </c>
      <c r="C21" s="279" t="s">
        <v>8</v>
      </c>
      <c r="D21" s="280" t="s">
        <v>9</v>
      </c>
      <c r="E21" s="278" t="s">
        <v>10</v>
      </c>
      <c r="F21" s="278" t="s">
        <v>11</v>
      </c>
      <c r="G21" s="4"/>
      <c r="H21" s="4"/>
      <c r="I21" s="4"/>
      <c r="J21" s="4"/>
      <c r="K21" s="4"/>
      <c r="L21" s="4"/>
      <c r="M21" s="4"/>
      <c r="N21" s="3"/>
    </row>
    <row r="22" spans="1:14" ht="19" customHeight="1" x14ac:dyDescent="0.15">
      <c r="A22" s="3"/>
      <c r="B22" s="222" t="s">
        <v>22</v>
      </c>
      <c r="C22" s="223">
        <f>SUMIFS(Модель!$Z$5:$Z$44,Модель!$S$5:$S$44,"&lt;&gt;Пауза")</f>
        <v>14530290</v>
      </c>
      <c r="D22" s="224">
        <f>SUMIFS(Модель!$AN$5:$AN$44,Модель!$S$5:$S$44,"&lt;&gt;Пауза")</f>
        <v>12876790</v>
      </c>
      <c r="E22" s="225">
        <f>SUM(Модель!$BB$5:$BB$44)</f>
        <v>13668020</v>
      </c>
      <c r="F22" s="225">
        <f>E22</f>
        <v>13668020</v>
      </c>
      <c r="G22" s="4"/>
      <c r="H22" s="4"/>
      <c r="I22" s="4"/>
      <c r="J22" s="4"/>
      <c r="K22" s="4"/>
      <c r="L22" s="4"/>
      <c r="M22" s="4"/>
      <c r="N22" s="3"/>
    </row>
    <row r="23" spans="1:14" ht="19" customHeight="1" x14ac:dyDescent="0.15">
      <c r="A23" s="3"/>
      <c r="B23" s="221" t="s">
        <v>23</v>
      </c>
      <c r="C23" s="217">
        <f>SUMIFS(Модель!$AA$5:$AA$44,Модель!$S$5:$S$44,"&lt;&gt;Пауза")</f>
        <v>6332650</v>
      </c>
      <c r="D23" s="216">
        <f>SUMIFS(Модель!$AO$5:$AO$44,Модель!$S$5:$S$44,"&lt;&gt;Пауза")</f>
        <v>5594240</v>
      </c>
      <c r="E23" s="215">
        <f>SUM(Модель!$BC$5:$BC$44)</f>
        <v>5902340</v>
      </c>
      <c r="F23" s="215">
        <f>E23</f>
        <v>5902340</v>
      </c>
      <c r="G23" s="4"/>
      <c r="H23" s="4"/>
      <c r="I23" s="4"/>
      <c r="J23" s="4"/>
      <c r="K23" s="4"/>
      <c r="L23" s="4"/>
      <c r="M23" s="4"/>
      <c r="N23" s="3"/>
    </row>
    <row r="24" spans="1:14" ht="19" customHeight="1" x14ac:dyDescent="0.15">
      <c r="A24" s="3"/>
      <c r="B24" s="227" t="s">
        <v>24</v>
      </c>
      <c r="C24" s="228">
        <f>C22-C23</f>
        <v>8197640</v>
      </c>
      <c r="D24" s="229">
        <f>D22-D23</f>
        <v>7282550</v>
      </c>
      <c r="E24" s="230">
        <f>E22-E23</f>
        <v>7765680</v>
      </c>
      <c r="F24" s="230">
        <f>F22-F23</f>
        <v>7765680</v>
      </c>
      <c r="G24" s="4"/>
      <c r="H24" s="4"/>
      <c r="I24" s="4"/>
      <c r="J24" s="4"/>
      <c r="K24" s="4"/>
      <c r="L24" s="4"/>
      <c r="M24" s="4"/>
      <c r="N24" s="3"/>
    </row>
    <row r="25" spans="1:14" ht="19" customHeight="1" x14ac:dyDescent="0.15">
      <c r="A25" s="3"/>
      <c r="B25" s="231" t="s">
        <v>25</v>
      </c>
      <c r="C25" s="232"/>
      <c r="D25" s="232"/>
      <c r="E25" s="232"/>
      <c r="F25" s="233"/>
      <c r="G25" s="4"/>
      <c r="H25" s="4"/>
      <c r="I25" s="4"/>
      <c r="J25" s="4" t="s">
        <v>26</v>
      </c>
      <c r="K25" s="4" t="s">
        <v>27</v>
      </c>
      <c r="N25" s="3"/>
    </row>
    <row r="26" spans="1:14" ht="19" customHeight="1" x14ac:dyDescent="0.15">
      <c r="A26" s="3"/>
      <c r="B26" s="226" t="s">
        <v>21</v>
      </c>
      <c r="C26" s="226" t="s">
        <v>8</v>
      </c>
      <c r="D26" s="226" t="s">
        <v>9</v>
      </c>
      <c r="E26" s="226" t="s">
        <v>10</v>
      </c>
      <c r="F26" s="226" t="s">
        <v>11</v>
      </c>
      <c r="G26" s="4"/>
      <c r="H26" s="4"/>
      <c r="I26" s="4"/>
      <c r="J26" s="4" t="s">
        <v>8</v>
      </c>
      <c r="K26" s="127">
        <f>C42</f>
        <v>2151647.7130000005</v>
      </c>
      <c r="N26" s="3"/>
    </row>
    <row r="27" spans="1:14" ht="19" customHeight="1" x14ac:dyDescent="0.15">
      <c r="A27" s="3"/>
      <c r="B27" s="234" t="s">
        <v>28</v>
      </c>
      <c r="C27" s="239">
        <f>SUMIFS(Модель!$AB$5:$AB$44,Модель!$S$5:$S$44,"&lt;&gt;Пауза")</f>
        <v>2246020.2000000002</v>
      </c>
      <c r="D27" s="239">
        <f>SUMIFS(Модель!$AP$5:$AP$44,Модель!$S$5:$S$44,"&lt;&gt;Пауза")</f>
        <v>1865683.9999999998</v>
      </c>
      <c r="E27" s="239">
        <f>SUM(Модель!$BD$5:$BD$44)</f>
        <v>2064528.4</v>
      </c>
      <c r="F27" s="239">
        <f>E27</f>
        <v>2064528.4</v>
      </c>
      <c r="G27" s="4"/>
      <c r="H27" s="4"/>
      <c r="I27" s="4"/>
      <c r="J27" s="4" t="s">
        <v>9</v>
      </c>
      <c r="K27" s="127">
        <f>D42</f>
        <v>2608490.1844999995</v>
      </c>
      <c r="N27" s="3"/>
    </row>
    <row r="28" spans="1:14" ht="19" customHeight="1" x14ac:dyDescent="0.15">
      <c r="A28" s="3"/>
      <c r="B28" s="235" t="s">
        <v>29</v>
      </c>
      <c r="C28" s="240">
        <f>SUMIFS(Модель!$AC$5:$AC$44,Модель!$S$5:$S$44,"&lt;&gt;Пауза")</f>
        <v>217954.35</v>
      </c>
      <c r="D28" s="240">
        <f>SUMIFS(Модель!$AQ$5:$AQ$44,Модель!$S$5:$S$44,"&lt;&gt;Пауза")</f>
        <v>193151.85</v>
      </c>
      <c r="E28" s="240">
        <f>SUM(Модель!$BE$5:$BE$44)</f>
        <v>205020.30000000002</v>
      </c>
      <c r="F28" s="240">
        <f>E28</f>
        <v>205020.30000000002</v>
      </c>
      <c r="G28" s="4"/>
      <c r="H28" s="4"/>
      <c r="I28" s="4"/>
      <c r="J28" s="4" t="s">
        <v>10</v>
      </c>
      <c r="K28" s="127">
        <f>E42</f>
        <v>2938795.1385000004</v>
      </c>
      <c r="N28" s="3"/>
    </row>
    <row r="29" spans="1:14" ht="19" customHeight="1" x14ac:dyDescent="0.15">
      <c r="A29" s="3"/>
      <c r="B29" s="235" t="s">
        <v>30</v>
      </c>
      <c r="C29" s="240">
        <f>SUMPRODUCT((Модель!$S$5:$S$44&lt;&gt;"Пауза")*Модель!$X$5:$X$44*Модель!$J$5:$J$44)*'Затраты продавца'!$B$12</f>
        <v>151335.48250000004</v>
      </c>
      <c r="D29" s="240">
        <f>D15*'Затраты продавца'!$B$8</f>
        <v>75000</v>
      </c>
      <c r="E29" s="240">
        <f>SUM(Модель!$BI$5:$BI$44)+E15*'Затраты продавца'!$B$8</f>
        <v>119332.49</v>
      </c>
      <c r="F29" s="240">
        <f>SUM(Модель!$BI$5:$BI$44)+SUM(Модель!$V$5:$V$44)*1000*'Fulllog 3PL'!$L$7</f>
        <v>138580.01750000002</v>
      </c>
      <c r="G29" s="4"/>
      <c r="H29" s="4"/>
      <c r="I29" s="4"/>
      <c r="J29" s="4" t="s">
        <v>31</v>
      </c>
      <c r="K29" s="127">
        <f>F42</f>
        <v>3064646.8394374996</v>
      </c>
      <c r="N29" s="3"/>
    </row>
    <row r="30" spans="1:14" ht="19" customHeight="1" x14ac:dyDescent="0.15">
      <c r="A30" s="3"/>
      <c r="B30" s="235" t="s">
        <v>32</v>
      </c>
      <c r="C30" s="240">
        <f>SUMIFS(Модель!$AF$5:$AF$44,Модель!$S$5:$S$44,"&lt;&gt;Пауза")</f>
        <v>2097850.0844999994</v>
      </c>
      <c r="D30" s="240">
        <f>SUMIFS(Модель!$AT$5:$AT$44,Модель!$S$5:$S$44,"&lt;&gt;Пауза")</f>
        <v>674342.54550000001</v>
      </c>
      <c r="E30" s="240">
        <f>SUM(Модель!$BH$5:$BH$44)</f>
        <v>1044600.0615</v>
      </c>
      <c r="F30" s="240">
        <f>SUMIFS(Модель!$BH$5:$BH$44,Модель!$S$5:$S$44,"FBO")+'Fulllog 3PL'!$D$12</f>
        <v>918219.83306249999</v>
      </c>
      <c r="G30" s="4"/>
      <c r="H30" s="4"/>
      <c r="I30" s="4"/>
      <c r="J30" s="4"/>
      <c r="K30" s="4"/>
      <c r="L30" s="4"/>
      <c r="M30" s="4"/>
      <c r="N30" s="3"/>
    </row>
    <row r="31" spans="1:14" ht="19" customHeight="1" x14ac:dyDescent="0.15">
      <c r="A31" s="3"/>
      <c r="B31" s="235" t="s">
        <v>33</v>
      </c>
      <c r="C31" s="240">
        <f>0</f>
        <v>0</v>
      </c>
      <c r="D31" s="240">
        <f>SUMPRODUCT((Модель!$S$5:$S$44&lt;&gt;"Пауза")*Модель!$AK$5:$AK$44)*'Затраты продавца'!$B$6</f>
        <v>380880</v>
      </c>
      <c r="E31" s="240">
        <f>SUM(Модель!$U$5:$U$44)*'Затраты продавца'!$B$6</f>
        <v>70500</v>
      </c>
      <c r="F31" s="240">
        <f>SUM('Fulllog 3PL'!$D$11,'Fulllog 3PL'!$D$13,'Fulllog 3PL'!$D$15,'Fulllog 3PL'!$D$19)</f>
        <v>21150</v>
      </c>
      <c r="G31" s="4"/>
      <c r="H31" s="4"/>
      <c r="I31" s="4"/>
      <c r="J31" s="4"/>
      <c r="K31" s="4"/>
      <c r="L31" s="4"/>
      <c r="M31" s="4"/>
      <c r="N31" s="3"/>
    </row>
    <row r="32" spans="1:14" ht="19" customHeight="1" x14ac:dyDescent="0.15">
      <c r="A32" s="3"/>
      <c r="B32" s="235" t="s">
        <v>34</v>
      </c>
      <c r="C32" s="240">
        <f>0</f>
        <v>0</v>
      </c>
      <c r="D32" s="240">
        <f>SUMPRODUCT((Модель!$S$5:$S$44&lt;&gt;"Пауза")*Модель!$AK$5:$AK$44)*'Затраты продавца'!$B$7</f>
        <v>63480</v>
      </c>
      <c r="E32" s="240">
        <f>SUM(Модель!$U$5:$U$44)*'Затраты продавца'!$B$7</f>
        <v>11750</v>
      </c>
      <c r="F32" s="240">
        <f>'Fulllog 3PL'!$D$14</f>
        <v>28410</v>
      </c>
      <c r="G32" s="4"/>
      <c r="H32" s="4"/>
      <c r="I32" s="4"/>
      <c r="J32" s="4"/>
      <c r="K32" s="4"/>
      <c r="L32" s="4"/>
      <c r="M32" s="4"/>
      <c r="N32" s="3"/>
    </row>
    <row r="33" spans="1:14" ht="19" customHeight="1" x14ac:dyDescent="0.15">
      <c r="A33" s="3"/>
      <c r="B33" s="235" t="s">
        <v>35</v>
      </c>
      <c r="C33" s="240">
        <f>0</f>
        <v>0</v>
      </c>
      <c r="D33" s="240">
        <f>SUMIFS(Модель!$AV$5:$AV$44,Модель!$S$5:$S$44,"&lt;&gt;Пауза")</f>
        <v>63480</v>
      </c>
      <c r="E33" s="240">
        <f>SUM(Модель!$BK$5:$BK$44)</f>
        <v>11750</v>
      </c>
      <c r="F33" s="240">
        <f>'Fulllog 3PL'!$D$16</f>
        <v>29375</v>
      </c>
      <c r="G33" s="4"/>
      <c r="H33" s="4"/>
      <c r="I33" s="4"/>
      <c r="J33" s="4"/>
      <c r="K33" s="4"/>
      <c r="L33" s="4"/>
      <c r="M33" s="4"/>
      <c r="N33" s="3"/>
    </row>
    <row r="34" spans="1:14" ht="19" customHeight="1" x14ac:dyDescent="0.15">
      <c r="A34" s="3"/>
      <c r="B34" s="235" t="s">
        <v>36</v>
      </c>
      <c r="C34" s="240">
        <f>SUMIFS(Модель!$AD$5:$AD$44,Модель!$S$5:$S$44,"&lt;&gt;Пауза")</f>
        <v>962020.3899999999</v>
      </c>
      <c r="D34" s="240">
        <f>SUMIFS(Модель!$AR$5:$AR$44,Модель!$S$5:$S$44,"&lt;&gt;Пауза")</f>
        <v>856216.43000000017</v>
      </c>
      <c r="E34" s="240">
        <f>SUM(Модель!$BF$5:$BF$44)</f>
        <v>906738.53</v>
      </c>
      <c r="F34" s="240">
        <f>E34</f>
        <v>906738.53</v>
      </c>
      <c r="G34" s="4"/>
      <c r="H34" s="4"/>
      <c r="I34" s="4"/>
      <c r="J34" s="4"/>
      <c r="K34" s="4"/>
      <c r="L34" s="4"/>
      <c r="M34" s="4"/>
      <c r="N34" s="3"/>
    </row>
    <row r="35" spans="1:14" ht="19" customHeight="1" x14ac:dyDescent="0.15">
      <c r="A35" s="3"/>
      <c r="B35" s="235" t="s">
        <v>37</v>
      </c>
      <c r="C35" s="240">
        <f>SUMIFS(Модель!$AE$5:$AE$44,Модель!$S$5:$S$44,"&lt;&gt;Пауза")</f>
        <v>176925</v>
      </c>
      <c r="D35" s="240">
        <f>SUMIFS(Модель!$AS$5:$AS$44,Модель!$S$5:$S$44,"&lt;&gt;Пауза")</f>
        <v>158700</v>
      </c>
      <c r="E35" s="240">
        <f>SUM(Модель!$BG$5:$BG$44)</f>
        <v>173375</v>
      </c>
      <c r="F35" s="240">
        <f>E35</f>
        <v>173375</v>
      </c>
      <c r="G35" s="4"/>
      <c r="H35" s="4"/>
      <c r="I35" s="4"/>
      <c r="J35" s="4"/>
      <c r="K35" s="4"/>
      <c r="L35" s="4"/>
      <c r="M35" s="4"/>
      <c r="N35" s="3"/>
    </row>
    <row r="36" spans="1:14" ht="19" customHeight="1" x14ac:dyDescent="0.15">
      <c r="A36" s="3"/>
      <c r="B36" s="235" t="s">
        <v>38</v>
      </c>
      <c r="C36" s="240">
        <f>SUMIFS(Модель!$AH$5:$AH$44,Модель!$S$5:$S$44,"&lt;&gt;Пауза")</f>
        <v>82202.78</v>
      </c>
      <c r="D36" s="240">
        <f>SUMIFS(Модель!$AW$5:$AW$44,Модель!$S$5:$S$44,"&lt;&gt;Пауза")-SUMPRODUCT((Модель!$S$5:$S$44&lt;&gt;"Пауза")*Модель!$AL$5:$AL$44)*'Затраты продавца'!$B$9-SUMPRODUCT((Модель!$S$5:$S$44&lt;&gt;"Пауза")*Модель!$AL$5:$AL$44*Модель!$I$5:$I$44)*(1-'Затраты продавца'!$B$10)*Модель!$C$55</f>
        <v>76085.739999999976</v>
      </c>
      <c r="E36" s="240">
        <f>SUM(Модель!$BL$5:$BL$44)-SUMPRODUCT((Модель!$S$5:$S$44="FBS")*Модель!$AL$5:$AL$44)*'Затраты продавца'!$B$9-SUMPRODUCT((Модель!$S$5:$S$44="FBS")*Модель!$AL$5:$AL$44*Модель!$I$5:$I$44)*(1-'Затраты продавца'!$B$10)*Модель!$C$55</f>
        <v>80483.079999999987</v>
      </c>
      <c r="F36" s="240">
        <f>E36</f>
        <v>80483.079999999987</v>
      </c>
      <c r="G36" s="4"/>
      <c r="H36" s="4"/>
      <c r="I36" s="4"/>
      <c r="J36" s="4"/>
      <c r="K36" s="4"/>
      <c r="L36" s="4"/>
      <c r="M36" s="4"/>
      <c r="N36" s="3"/>
    </row>
    <row r="37" spans="1:14" ht="19" customHeight="1" x14ac:dyDescent="0.15">
      <c r="A37" s="3"/>
      <c r="B37" s="236" t="s">
        <v>39</v>
      </c>
      <c r="C37" s="241">
        <f>0</f>
        <v>0</v>
      </c>
      <c r="D37" s="241">
        <f>SUMPRODUCT((Модель!$S$5:$S$44&lt;&gt;"Пауза")*Модель!$AL$5:$AL$44)*'Затраты продавца'!$B$9</f>
        <v>54700</v>
      </c>
      <c r="E37" s="241">
        <f>SUMPRODUCT((Модель!$S$5:$S$44="FBS")*Модель!$AL$5:$AL$44)*'Затраты продавца'!$B$9</f>
        <v>8700</v>
      </c>
      <c r="F37" s="241">
        <f>'Fulllog 3PL'!$D$17</f>
        <v>5046</v>
      </c>
      <c r="G37" s="4"/>
      <c r="H37" s="4"/>
      <c r="I37" s="4"/>
      <c r="J37" s="4"/>
      <c r="K37" s="4"/>
      <c r="L37" s="4"/>
      <c r="M37" s="4"/>
      <c r="N37" s="3"/>
    </row>
    <row r="38" spans="1:14" ht="19" customHeight="1" x14ac:dyDescent="0.15">
      <c r="A38" s="3"/>
      <c r="B38" s="237" t="s">
        <v>40</v>
      </c>
      <c r="C38" s="242">
        <f>SUMIFS(Модель!$BN$5:$BN$44,Модель!$S$5:$S$44,"&lt;&gt;Пауза")</f>
        <v>111684.00000000001</v>
      </c>
      <c r="D38" s="242">
        <f>SUMIFS(Модель!$AX$5:$AX$44,Модель!$S$5:$S$44,"&lt;&gt;Пауза")+SUMPRODUCT((Модель!$S$5:$S$44&lt;&gt;"Пауза")*Модель!$AL$5:$AL$44*Модель!$I$5:$I$44)*(1-'Затраты продавца'!$B$10)*Модель!$C$55</f>
        <v>212339.25</v>
      </c>
      <c r="E38" s="242">
        <f>SUM(Модель!$BM$5:$BM$44)+SUMIFS(Модель!$BN$5:$BN$44,Модель!$S$5:$S$44,"FBO")+SUMPRODUCT((Модель!$S$5:$S$44="FBS")*Модель!$AL$5:$AL$44*Модель!$I$5:$I$44)*(1-'Затраты продавца'!$B$10)*Модель!$C$55</f>
        <v>130107</v>
      </c>
      <c r="F38" s="242">
        <f>E38</f>
        <v>130107</v>
      </c>
      <c r="G38" s="4"/>
      <c r="H38" s="4"/>
      <c r="I38" s="4"/>
      <c r="J38" s="4"/>
      <c r="K38" s="4"/>
      <c r="L38" s="4"/>
      <c r="M38" s="4"/>
      <c r="N38" s="3"/>
    </row>
    <row r="39" spans="1:14" ht="19" customHeight="1" x14ac:dyDescent="0.15">
      <c r="A39" s="3"/>
      <c r="B39" s="238" t="s">
        <v>41</v>
      </c>
      <c r="C39" s="243">
        <f>SUM(C27:C38)</f>
        <v>6045992.2869999995</v>
      </c>
      <c r="D39" s="243">
        <f>SUM(D27:D38)</f>
        <v>4674059.8155000005</v>
      </c>
      <c r="E39" s="243">
        <f>SUM(E27:E38)</f>
        <v>4826884.8614999996</v>
      </c>
      <c r="F39" s="243">
        <f>SUM(F27:F38)</f>
        <v>4701033.1605625004</v>
      </c>
      <c r="G39" s="4"/>
      <c r="H39" s="4"/>
      <c r="I39" s="4"/>
      <c r="J39" s="4"/>
      <c r="K39" s="4"/>
      <c r="L39" s="4"/>
      <c r="M39" s="4"/>
      <c r="N39" s="3"/>
    </row>
    <row r="40" spans="1:14" ht="19" customHeight="1" x14ac:dyDescent="0.15">
      <c r="A40" s="3"/>
      <c r="B40" s="244" t="s">
        <v>42</v>
      </c>
      <c r="C40" s="245"/>
      <c r="D40" s="245"/>
      <c r="E40" s="245"/>
      <c r="F40" s="246"/>
      <c r="G40" s="5"/>
      <c r="H40" s="5"/>
      <c r="I40" s="5"/>
      <c r="J40" s="5"/>
      <c r="K40" s="5"/>
      <c r="L40" s="5"/>
      <c r="M40" s="5"/>
      <c r="N40" s="3"/>
    </row>
    <row r="41" spans="1:14" ht="19" customHeight="1" x14ac:dyDescent="0.15">
      <c r="A41" s="3"/>
      <c r="B41" s="226" t="s">
        <v>21</v>
      </c>
      <c r="C41" s="226" t="s">
        <v>8</v>
      </c>
      <c r="D41" s="226" t="s">
        <v>9</v>
      </c>
      <c r="E41" s="226" t="s">
        <v>10</v>
      </c>
      <c r="F41" s="226" t="s">
        <v>11</v>
      </c>
      <c r="G41" s="4"/>
      <c r="H41" s="4"/>
      <c r="I41" s="4"/>
      <c r="J41" s="4"/>
      <c r="K41" s="4"/>
      <c r="L41" s="4"/>
      <c r="M41" s="4"/>
      <c r="N41" s="3"/>
    </row>
    <row r="42" spans="1:14" ht="19" customHeight="1" x14ac:dyDescent="0.15">
      <c r="A42" s="3"/>
      <c r="B42" s="247" t="s">
        <v>27</v>
      </c>
      <c r="C42" s="250">
        <f>C24-C39</f>
        <v>2151647.7130000005</v>
      </c>
      <c r="D42" s="250">
        <f>D24-D39</f>
        <v>2608490.1844999995</v>
      </c>
      <c r="E42" s="250">
        <f>E24-E39</f>
        <v>2938795.1385000004</v>
      </c>
      <c r="F42" s="250">
        <f>F24-F39</f>
        <v>3064646.8394374996</v>
      </c>
      <c r="G42" s="4"/>
      <c r="H42" s="4"/>
      <c r="I42" s="4"/>
      <c r="J42" s="4"/>
      <c r="K42" s="4"/>
      <c r="L42" s="4"/>
      <c r="M42" s="4"/>
      <c r="N42" s="3"/>
    </row>
    <row r="43" spans="1:14" ht="19" customHeight="1" x14ac:dyDescent="0.15">
      <c r="A43" s="3"/>
      <c r="B43" s="248" t="s">
        <v>43</v>
      </c>
      <c r="C43" s="251">
        <f>C42/C22</f>
        <v>0.14808016309378549</v>
      </c>
      <c r="D43" s="251">
        <f>D42/D22</f>
        <v>0.20257301582925555</v>
      </c>
      <c r="E43" s="251">
        <f>E42/E22</f>
        <v>0.21501249914032905</v>
      </c>
      <c r="F43" s="251">
        <f>F42/F22</f>
        <v>0.22422024839278107</v>
      </c>
      <c r="G43" s="4"/>
      <c r="H43" s="4"/>
      <c r="I43" s="4"/>
      <c r="J43" s="4"/>
      <c r="K43" s="4"/>
      <c r="L43" s="4"/>
      <c r="M43" s="4"/>
      <c r="N43" s="3"/>
    </row>
    <row r="44" spans="1:14" ht="19" customHeight="1" x14ac:dyDescent="0.15">
      <c r="A44" s="3"/>
      <c r="B44" s="249" t="s">
        <v>44</v>
      </c>
      <c r="C44" s="252">
        <f>0</f>
        <v>0</v>
      </c>
      <c r="D44" s="252">
        <f>D42-$C$42</f>
        <v>456842.47149999905</v>
      </c>
      <c r="E44" s="252">
        <f>E42-$C$42</f>
        <v>787147.4254999999</v>
      </c>
      <c r="F44" s="252">
        <f>F42-$C$42</f>
        <v>912999.12643749919</v>
      </c>
      <c r="G44" s="4"/>
      <c r="H44" s="4"/>
      <c r="I44" s="4"/>
      <c r="J44" s="4"/>
      <c r="K44" s="4"/>
      <c r="L44" s="4"/>
      <c r="M44" s="4"/>
      <c r="N44" s="3"/>
    </row>
    <row r="45" spans="1:14" ht="10" customHeight="1" x14ac:dyDescent="0.15">
      <c r="A45" s="3"/>
      <c r="G45" s="4"/>
      <c r="H45" s="4"/>
      <c r="I45" s="4"/>
      <c r="J45" s="4"/>
      <c r="K45" s="4"/>
      <c r="L45" s="4"/>
      <c r="M45" s="4"/>
      <c r="N45" s="3"/>
    </row>
    <row r="46" spans="1:14" x14ac:dyDescent="0.15">
      <c r="G46" s="4"/>
      <c r="H46" s="4"/>
      <c r="I46" s="4"/>
      <c r="J46" s="4"/>
      <c r="K46" s="4"/>
      <c r="L46" s="4"/>
      <c r="M46" s="4"/>
    </row>
  </sheetData>
  <mergeCells count="18">
    <mergeCell ref="B2:M2"/>
    <mergeCell ref="H10:M10"/>
    <mergeCell ref="H11:M12"/>
    <mergeCell ref="H16:M18"/>
    <mergeCell ref="B5:D5"/>
    <mergeCell ref="E5:G5"/>
    <mergeCell ref="H5:J5"/>
    <mergeCell ref="K5:M5"/>
    <mergeCell ref="H6:J8"/>
    <mergeCell ref="K6:M8"/>
    <mergeCell ref="H13:M15"/>
    <mergeCell ref="B18:F18"/>
    <mergeCell ref="B40:F40"/>
    <mergeCell ref="B20:F20"/>
    <mergeCell ref="B10:F10"/>
    <mergeCell ref="B6:D8"/>
    <mergeCell ref="E6:G8"/>
    <mergeCell ref="B25:F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7C99"/>
  </sheetPr>
  <dimension ref="A1:BQ68"/>
  <sheetViews>
    <sheetView showGridLines="0" workbookViewId="0"/>
  </sheetViews>
  <sheetFormatPr baseColWidth="10" defaultColWidth="8.6640625" defaultRowHeight="13" x14ac:dyDescent="0.15"/>
  <cols>
    <col min="1" max="1" width="3" customWidth="1"/>
    <col min="2" max="2" width="30" customWidth="1"/>
    <col min="3" max="3" width="15" customWidth="1"/>
    <col min="4" max="4" width="18" customWidth="1"/>
    <col min="5" max="5" width="38" customWidth="1"/>
    <col min="6" max="6" width="13.5" customWidth="1"/>
    <col min="7" max="7" width="25" customWidth="1"/>
    <col min="8" max="8" width="15" customWidth="1"/>
    <col min="9" max="9" width="18" customWidth="1"/>
    <col min="10" max="10" width="27" customWidth="1"/>
    <col min="11" max="14" width="12" customWidth="1"/>
    <col min="15" max="16" width="17" customWidth="1"/>
    <col min="17" max="19" width="15" customWidth="1"/>
    <col min="20" max="20" width="18" customWidth="1"/>
    <col min="21" max="22" width="15" customWidth="1"/>
    <col min="23" max="23" width="2" customWidth="1"/>
    <col min="24" max="65" width="14" customWidth="1"/>
    <col min="67" max="69" width="17" customWidth="1"/>
  </cols>
  <sheetData>
    <row r="1" spans="1:69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</row>
    <row r="2" spans="1:69" ht="20" customHeight="1" x14ac:dyDescent="0.2">
      <c r="A2" s="3"/>
      <c r="B2" s="7" t="s">
        <v>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</row>
    <row r="3" spans="1:69" x14ac:dyDescent="0.15">
      <c r="A3" s="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</row>
    <row r="4" spans="1:69" ht="44" customHeight="1" x14ac:dyDescent="0.15">
      <c r="A4" s="3"/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51</v>
      </c>
      <c r="H4" s="9" t="s">
        <v>52</v>
      </c>
      <c r="I4" s="9" t="s">
        <v>53</v>
      </c>
      <c r="J4" s="9" t="s">
        <v>54</v>
      </c>
      <c r="K4" s="9" t="s">
        <v>55</v>
      </c>
      <c r="L4" s="9" t="s">
        <v>56</v>
      </c>
      <c r="M4" s="9" t="s">
        <v>57</v>
      </c>
      <c r="N4" s="9" t="s">
        <v>58</v>
      </c>
      <c r="O4" s="9" t="s">
        <v>59</v>
      </c>
      <c r="P4" s="9" t="s">
        <v>60</v>
      </c>
      <c r="Q4" s="9" t="s">
        <v>6</v>
      </c>
      <c r="R4" s="9" t="s">
        <v>61</v>
      </c>
      <c r="S4" s="9" t="s">
        <v>62</v>
      </c>
      <c r="T4" s="9" t="s">
        <v>63</v>
      </c>
      <c r="U4" s="9" t="s">
        <v>64</v>
      </c>
      <c r="V4" s="9" t="s">
        <v>65</v>
      </c>
      <c r="W4" s="10"/>
      <c r="X4" s="11" t="s">
        <v>66</v>
      </c>
      <c r="Y4" s="11" t="s">
        <v>67</v>
      </c>
      <c r="Z4" s="11" t="s">
        <v>68</v>
      </c>
      <c r="AA4" s="11" t="s">
        <v>69</v>
      </c>
      <c r="AB4" s="11" t="s">
        <v>70</v>
      </c>
      <c r="AC4" s="11" t="s">
        <v>71</v>
      </c>
      <c r="AD4" s="11" t="s">
        <v>72</v>
      </c>
      <c r="AE4" s="11" t="s">
        <v>73</v>
      </c>
      <c r="AF4" s="11" t="s">
        <v>74</v>
      </c>
      <c r="AG4" s="11" t="s">
        <v>75</v>
      </c>
      <c r="AH4" s="11" t="s">
        <v>76</v>
      </c>
      <c r="AI4" s="11" t="s">
        <v>77</v>
      </c>
      <c r="AJ4" s="11" t="s">
        <v>78</v>
      </c>
      <c r="AK4" s="11" t="s">
        <v>79</v>
      </c>
      <c r="AL4" s="11" t="s">
        <v>80</v>
      </c>
      <c r="AM4" s="11" t="s">
        <v>81</v>
      </c>
      <c r="AN4" s="11" t="s">
        <v>82</v>
      </c>
      <c r="AO4" s="11" t="s">
        <v>83</v>
      </c>
      <c r="AP4" s="11" t="s">
        <v>84</v>
      </c>
      <c r="AQ4" s="11" t="s">
        <v>85</v>
      </c>
      <c r="AR4" s="11" t="s">
        <v>86</v>
      </c>
      <c r="AS4" s="11" t="s">
        <v>87</v>
      </c>
      <c r="AT4" s="11" t="s">
        <v>88</v>
      </c>
      <c r="AU4" s="11" t="s">
        <v>89</v>
      </c>
      <c r="AV4" s="11" t="s">
        <v>90</v>
      </c>
      <c r="AW4" s="11" t="s">
        <v>91</v>
      </c>
      <c r="AX4" s="11" t="s">
        <v>92</v>
      </c>
      <c r="AY4" s="11" t="s">
        <v>93</v>
      </c>
      <c r="AZ4" s="11" t="s">
        <v>94</v>
      </c>
      <c r="BA4" s="11" t="s">
        <v>95</v>
      </c>
      <c r="BB4" s="11" t="s">
        <v>96</v>
      </c>
      <c r="BC4" s="11" t="s">
        <v>97</v>
      </c>
      <c r="BD4" s="11" t="s">
        <v>98</v>
      </c>
      <c r="BE4" s="11" t="s">
        <v>99</v>
      </c>
      <c r="BF4" s="11" t="s">
        <v>100</v>
      </c>
      <c r="BG4" s="11" t="s">
        <v>101</v>
      </c>
      <c r="BH4" s="11" t="s">
        <v>102</v>
      </c>
      <c r="BI4" s="11" t="s">
        <v>103</v>
      </c>
      <c r="BJ4" s="11" t="s">
        <v>104</v>
      </c>
      <c r="BK4" s="11" t="s">
        <v>105</v>
      </c>
      <c r="BL4" s="11" t="s">
        <v>106</v>
      </c>
      <c r="BM4" s="11" t="s">
        <v>107</v>
      </c>
      <c r="BN4" t="s">
        <v>108</v>
      </c>
      <c r="BO4" s="113" t="s">
        <v>109</v>
      </c>
      <c r="BP4" s="114" t="s">
        <v>110</v>
      </c>
      <c r="BQ4" s="115" t="s">
        <v>111</v>
      </c>
    </row>
    <row r="5" spans="1:69" ht="21" customHeight="1" x14ac:dyDescent="0.15">
      <c r="A5" s="3"/>
      <c r="B5" s="12" t="str">
        <f>HYPERLINK("#'SKU'!A2","SKU!2")</f>
        <v>SKU!2</v>
      </c>
      <c r="C5" s="12" t="str">
        <f>SKU!A2</f>
        <v>SM-0001</v>
      </c>
      <c r="D5" s="12" t="str">
        <f>SKU!B2</f>
        <v>Кроссовки беговые мужские</v>
      </c>
      <c r="E5" s="12" t="str">
        <f>SKU!C2</f>
        <v>Обувь</v>
      </c>
      <c r="F5" s="12" t="str">
        <f>SKU!L2</f>
        <v>FBO</v>
      </c>
      <c r="G5" s="116">
        <f>SKU!K2*IF(SKU!L2="не представлен",$C$52,1)</f>
        <v>260</v>
      </c>
      <c r="H5" s="13">
        <f>SKU!D2</f>
        <v>3990</v>
      </c>
      <c r="I5" s="13">
        <f>SKU!E2</f>
        <v>1900</v>
      </c>
      <c r="J5" s="14">
        <f>SKU!I2</f>
        <v>8.3160000000000007</v>
      </c>
      <c r="K5" s="15">
        <f>SKU!N2</f>
        <v>0.14000000000000001</v>
      </c>
      <c r="L5" s="16">
        <f>IF(ISNUMBER(SKU!M2),SKU!M2,$C$53)</f>
        <v>66.679446017105903</v>
      </c>
      <c r="M5" s="15">
        <f t="shared" ref="M5:M44" si="0">VLOOKUP(E5,$B$58:$D$63,2,FALSE())</f>
        <v>0.16</v>
      </c>
      <c r="N5" s="15">
        <f t="shared" ref="N5:N44" si="1">VLOOKUP(E5,$B$58:$D$63,3,FALSE())</f>
        <v>0.15</v>
      </c>
      <c r="O5" s="17">
        <f t="shared" ref="O5:O44" si="2">Z5-SUM(AA5:AF5)-AH5-BN5</f>
        <v>227204.35600000003</v>
      </c>
      <c r="P5" s="17">
        <f t="shared" ref="P5:P44" si="3">AN5-SUM(AO5:AX5)</f>
        <v>224934.26199999999</v>
      </c>
      <c r="Q5" s="18" t="str">
        <f t="shared" ref="Q5:Q44" si="4">IF(MAX(O5,P5)&lt;0,"Пауза",IF(P5&gt;O5,"FBS","FBO"))</f>
        <v>FBO</v>
      </c>
      <c r="R5" s="19" t="s">
        <v>112</v>
      </c>
      <c r="S5" s="18" t="str">
        <f t="shared" ref="S5:S44" si="5">IF(R5="Авто",Q5,R5)</f>
        <v>FBO</v>
      </c>
      <c r="T5" s="17">
        <f t="shared" ref="T5:T44" si="6">IF(S5="FBO",O5,IF(S5="FBS",P5,0))</f>
        <v>227204.35600000003</v>
      </c>
      <c r="U5" s="20">
        <f t="shared" ref="U5:U44" si="7">IF(S5="FBS",AK5,0)</f>
        <v>0</v>
      </c>
      <c r="V5" s="21">
        <f t="shared" ref="V5:V44" si="8">IF(S5="FBS",AY5,0)</f>
        <v>0</v>
      </c>
      <c r="W5" s="6"/>
      <c r="X5" s="117">
        <f t="shared" ref="X5:X44" si="9">ROUNDUP(G5/(1-K5),0)</f>
        <v>303</v>
      </c>
      <c r="Y5" s="117">
        <f t="shared" ref="Y5:Y44" si="10">X5-G5</f>
        <v>43</v>
      </c>
      <c r="Z5" s="22">
        <f t="shared" ref="Z5:Z44" si="11">G5*H5</f>
        <v>1037400</v>
      </c>
      <c r="AA5" s="22">
        <f t="shared" ref="AA5:AA44" si="12">G5*I5</f>
        <v>494000</v>
      </c>
      <c r="AB5" s="22">
        <f t="shared" ref="AB5:AB44" si="13">Z5*M5</f>
        <v>165984</v>
      </c>
      <c r="AC5" s="22">
        <f>Z5*Тарифы!$B$32</f>
        <v>15561</v>
      </c>
      <c r="AD5" s="22">
        <f>X5*(Тарифы!$B$18+MAX(0,J5-5)*Тарифы!$B$19)</f>
        <v>34287.480000000003</v>
      </c>
      <c r="AE5" s="22">
        <f>X5*Тарифы!$B$20</f>
        <v>7575</v>
      </c>
      <c r="AF5" s="22">
        <f>BO5*J5*$C$48*IF(E5="Крупногабарит",$C$68,Тарифы!$B$21)</f>
        <v>75667.284000000014</v>
      </c>
      <c r="AG5" s="22">
        <f>X5*J5*'Затраты продавца'!$B$12</f>
        <v>6299.37</v>
      </c>
      <c r="AH5" s="22">
        <f>Y5*(Тарифы!$B$18+MAX(0,J5-5)*Тарифы!$B$19)*Тарифы!$B$22</f>
        <v>4865.88</v>
      </c>
      <c r="AI5" s="117">
        <f t="shared" ref="AI5:AI44" si="14">ROUNDUP(G5/(1-MIN(0.99,MAX(0,K5+$C$51)))*$C$49,0)</f>
        <v>303</v>
      </c>
      <c r="AJ5" s="117">
        <f t="shared" ref="AJ5:AJ44" si="15">ROUNDUP(AI5*$C$50,0)</f>
        <v>31</v>
      </c>
      <c r="AK5" s="117">
        <f t="shared" ref="AK5:AK44" si="16">AI5-AJ5</f>
        <v>272</v>
      </c>
      <c r="AL5" s="117">
        <f t="shared" ref="AL5:AL44" si="17">ROUNDUP(AK5*MIN(0.99,MAX(0,K5+$C$51)),0)</f>
        <v>39</v>
      </c>
      <c r="AM5" s="117">
        <f t="shared" ref="AM5:AM44" si="18">AK5-AL5</f>
        <v>233</v>
      </c>
      <c r="AN5" s="22">
        <f t="shared" ref="AN5:AN44" si="19">AM5*H5</f>
        <v>929670</v>
      </c>
      <c r="AO5" s="22">
        <f t="shared" ref="AO5:AO44" si="20">AM5*I5</f>
        <v>442700</v>
      </c>
      <c r="AP5" s="22">
        <f t="shared" ref="AP5:AP44" si="21">AN5*N5</f>
        <v>139450.5</v>
      </c>
      <c r="AQ5" s="22">
        <f>AN5*Тарифы!$B$32</f>
        <v>13945.05</v>
      </c>
      <c r="AR5" s="22">
        <f>AK5*(Тарифы!$B$25+MAX(0,J5-5)*Тарифы!$B$26)</f>
        <v>30779.520000000004</v>
      </c>
      <c r="AS5" s="22">
        <f>AK5*Тарифы!$B$27</f>
        <v>6800</v>
      </c>
      <c r="AT5" s="22">
        <f>BP5*J5*$C$48*'Затраты продавца'!$B$5</f>
        <v>25222.428000000004</v>
      </c>
      <c r="AU5" s="22">
        <f>AK5*('Затраты продавца'!$B$6+'Затраты продавца'!$B$7)</f>
        <v>19040</v>
      </c>
      <c r="AV5" s="22">
        <f>AK5*Тарифы!$B$24</f>
        <v>2720</v>
      </c>
      <c r="AW5" s="22">
        <f>AL5*((Тарифы!$B$25+MAX(0,J5-5)*Тарифы!$B$26)*Тарифы!$B$28+'Затраты продавца'!$B$9+(1-'Затраты продавца'!$B$10)*I5*$C$55)</f>
        <v>19428.240000000002</v>
      </c>
      <c r="AX5" s="22">
        <f>AJ5*Тарифы!$B$29</f>
        <v>4650</v>
      </c>
      <c r="AY5" s="23">
        <f t="shared" ref="AY5:AY44" si="22">AK5*J5/1000</f>
        <v>2.2619520000000004</v>
      </c>
      <c r="AZ5" s="117">
        <f t="shared" ref="AZ5:AZ44" si="23">IF(S5="FBO",G5,IF(S5="FBS",AM5,0))</f>
        <v>260</v>
      </c>
      <c r="BA5" s="117">
        <f t="shared" ref="BA5:BA44" si="24">IF(S5="FBO",X5,IF(S5="FBS",AK5,0))</f>
        <v>303</v>
      </c>
      <c r="BB5" s="22">
        <f t="shared" ref="BB5:BB44" si="25">IF(S5="FBO",Z5,IF(S5="FBS",AN5,0))</f>
        <v>1037400</v>
      </c>
      <c r="BC5" s="22">
        <f t="shared" ref="BC5:BC44" si="26">IF(S5="FBO",AA5,IF(S5="FBS",AO5,0))</f>
        <v>494000</v>
      </c>
      <c r="BD5" s="22">
        <f t="shared" ref="BD5:BD44" si="27">IF(S5="FBO",AB5,IF(S5="FBS",AP5,0))</f>
        <v>165984</v>
      </c>
      <c r="BE5" s="22">
        <f t="shared" ref="BE5:BE44" si="28">IF(S5="FBO",AC5,IF(S5="FBS",AQ5,0))</f>
        <v>15561</v>
      </c>
      <c r="BF5" s="22">
        <f t="shared" ref="BF5:BF44" si="29">IF(S5="FBO",AD5,IF(S5="FBS",AR5,0))</f>
        <v>34287.480000000003</v>
      </c>
      <c r="BG5" s="22">
        <f t="shared" ref="BG5:BG44" si="30">IF(S5="FBO",AE5,IF(S5="FBS",AS5,0))</f>
        <v>7575</v>
      </c>
      <c r="BH5" s="22">
        <f t="shared" ref="BH5:BH44" si="31">IF(S5="FBO",AF5,IF(S5="FBS",AT5,0))</f>
        <v>75667.284000000014</v>
      </c>
      <c r="BI5" s="22">
        <f t="shared" ref="BI5:BI44" si="32">IF(S5="FBO",AG5,0)</f>
        <v>6299.37</v>
      </c>
      <c r="BJ5" s="22">
        <f t="shared" ref="BJ5:BJ44" si="33">IF(S5="FBS",AU5,0)</f>
        <v>0</v>
      </c>
      <c r="BK5" s="22">
        <f t="shared" ref="BK5:BK44" si="34">IF(S5="FBS",AV5,0)</f>
        <v>0</v>
      </c>
      <c r="BL5" s="22">
        <f t="shared" ref="BL5:BL44" si="35">IF(S5="FBO",AH5,IF(S5="FBS",AW5,0))</f>
        <v>4865.88</v>
      </c>
      <c r="BM5" s="22">
        <f t="shared" ref="BM5:BM44" si="36">IF(S5="FBS",AX5,0)</f>
        <v>0</v>
      </c>
      <c r="BN5" s="24">
        <f>Y5*I5*(1-'Затраты продавца'!$B$10)*$C$55</f>
        <v>12255.000000000002</v>
      </c>
      <c r="BO5" s="118">
        <f t="shared" ref="BO5:BO44" si="37">ROUNDUP(X5*L5/$C$48,0)</f>
        <v>674</v>
      </c>
      <c r="BP5" s="118">
        <f t="shared" ref="BP5:BP44" si="38">ROUNDUP(AI5*L5*$C$54/$C$48,0)</f>
        <v>674</v>
      </c>
      <c r="BQ5" s="118">
        <f t="shared" ref="BQ5:BQ44" si="39">IF(S5="FBO",BO5,IF(S5="FBS",BP5,0))</f>
        <v>674</v>
      </c>
    </row>
    <row r="6" spans="1:69" ht="21" customHeight="1" x14ac:dyDescent="0.15">
      <c r="A6" s="3"/>
      <c r="B6" s="12" t="str">
        <f>HYPERLINK("#'SKU'!A3","SKU!3")</f>
        <v>SKU!3</v>
      </c>
      <c r="C6" s="12" t="str">
        <f>SKU!A3</f>
        <v>SM-0002</v>
      </c>
      <c r="D6" s="12" t="str">
        <f>SKU!B3</f>
        <v>Кроссовки трейловые</v>
      </c>
      <c r="E6" s="12" t="str">
        <f>SKU!C3</f>
        <v>Обувь</v>
      </c>
      <c r="F6" s="12" t="str">
        <f>SKU!L3</f>
        <v>FBO</v>
      </c>
      <c r="G6" s="116">
        <f>SKU!K3*IF(SKU!L3="не представлен",$C$52,1)</f>
        <v>180</v>
      </c>
      <c r="H6" s="13">
        <f>SKU!D3</f>
        <v>5490</v>
      </c>
      <c r="I6" s="13">
        <f>SKU!E3</f>
        <v>2600</v>
      </c>
      <c r="J6" s="14">
        <f>SKU!I3</f>
        <v>9.7240000000000002</v>
      </c>
      <c r="K6" s="15">
        <f>SKU!N3</f>
        <v>0.15</v>
      </c>
      <c r="L6" s="16">
        <f>IF(ISNUMBER(SKU!M3),SKU!M3,$C$53)</f>
        <v>67.064722642245698</v>
      </c>
      <c r="M6" s="15">
        <f t="shared" si="0"/>
        <v>0.16</v>
      </c>
      <c r="N6" s="15">
        <f t="shared" si="1"/>
        <v>0.15</v>
      </c>
      <c r="O6" s="17">
        <f t="shared" si="2"/>
        <v>236214.56399999995</v>
      </c>
      <c r="P6" s="17">
        <f t="shared" si="3"/>
        <v>233381.29800000007</v>
      </c>
      <c r="Q6" s="18" t="str">
        <f t="shared" si="4"/>
        <v>FBO</v>
      </c>
      <c r="R6" s="19" t="s">
        <v>112</v>
      </c>
      <c r="S6" s="18" t="str">
        <f t="shared" si="5"/>
        <v>FBO</v>
      </c>
      <c r="T6" s="17">
        <f t="shared" si="6"/>
        <v>236214.56399999995</v>
      </c>
      <c r="U6" s="20">
        <f t="shared" si="7"/>
        <v>0</v>
      </c>
      <c r="V6" s="21">
        <f t="shared" si="8"/>
        <v>0</v>
      </c>
      <c r="W6" s="6"/>
      <c r="X6" s="117">
        <f t="shared" si="9"/>
        <v>212</v>
      </c>
      <c r="Y6" s="117">
        <f t="shared" si="10"/>
        <v>32</v>
      </c>
      <c r="Z6" s="22">
        <f t="shared" si="11"/>
        <v>988200</v>
      </c>
      <c r="AA6" s="22">
        <f t="shared" si="12"/>
        <v>468000</v>
      </c>
      <c r="AB6" s="22">
        <f t="shared" si="13"/>
        <v>158112</v>
      </c>
      <c r="AC6" s="22">
        <f>Z6*Тарифы!$B$32</f>
        <v>14823</v>
      </c>
      <c r="AD6" s="22">
        <f>X6*(Тарифы!$B$18+MAX(0,J6-5)*Тарифы!$B$19)</f>
        <v>26974.880000000001</v>
      </c>
      <c r="AE6" s="22">
        <f>X6*Тарифы!$B$20</f>
        <v>5300</v>
      </c>
      <c r="AF6" s="22">
        <f>BO6*J6*$C$48*IF(E6="Крупногабарит",$C$68,Тарифы!$B$21)</f>
        <v>62223.876000000004</v>
      </c>
      <c r="AG6" s="22">
        <f>X6*J6*'Затраты продавца'!$B$12</f>
        <v>5153.7199999999993</v>
      </c>
      <c r="AH6" s="22">
        <f>Y6*(Тарифы!$B$18+MAX(0,J6-5)*Тарифы!$B$19)*Тарифы!$B$22</f>
        <v>4071.6800000000003</v>
      </c>
      <c r="AI6" s="117">
        <f t="shared" si="14"/>
        <v>212</v>
      </c>
      <c r="AJ6" s="117">
        <f t="shared" si="15"/>
        <v>22</v>
      </c>
      <c r="AK6" s="117">
        <f t="shared" si="16"/>
        <v>190</v>
      </c>
      <c r="AL6" s="117">
        <f t="shared" si="17"/>
        <v>29</v>
      </c>
      <c r="AM6" s="117">
        <f t="shared" si="18"/>
        <v>161</v>
      </c>
      <c r="AN6" s="22">
        <f t="shared" si="19"/>
        <v>883890</v>
      </c>
      <c r="AO6" s="22">
        <f t="shared" si="20"/>
        <v>418600</v>
      </c>
      <c r="AP6" s="22">
        <f t="shared" si="21"/>
        <v>132583.5</v>
      </c>
      <c r="AQ6" s="22">
        <f>AN6*Тарифы!$B$32</f>
        <v>13258.35</v>
      </c>
      <c r="AR6" s="22">
        <f>AK6*(Тарифы!$B$25+MAX(0,J6-5)*Тарифы!$B$26)</f>
        <v>24175.600000000002</v>
      </c>
      <c r="AS6" s="22">
        <f>AK6*Тарифы!$B$27</f>
        <v>4750</v>
      </c>
      <c r="AT6" s="22">
        <f>BP6*J6*$C$48*'Затраты продавца'!$B$5</f>
        <v>20741.291999999998</v>
      </c>
      <c r="AU6" s="22">
        <f>AK6*('Затраты продавца'!$B$6+'Затраты продавца'!$B$7)</f>
        <v>13300</v>
      </c>
      <c r="AV6" s="22">
        <f>AK6*Тарифы!$B$24</f>
        <v>1900</v>
      </c>
      <c r="AW6" s="22">
        <f>AL6*((Тарифы!$B$25+MAX(0,J6-5)*Тарифы!$B$26)*Тарифы!$B$28+'Затраты продавца'!$B$9+(1-'Затраты продавца'!$B$10)*I6*$C$55)</f>
        <v>17899.96</v>
      </c>
      <c r="AX6" s="22">
        <f>AJ6*Тарифы!$B$29</f>
        <v>3300</v>
      </c>
      <c r="AY6" s="23">
        <f t="shared" si="22"/>
        <v>1.8475599999999999</v>
      </c>
      <c r="AZ6" s="117">
        <f t="shared" si="23"/>
        <v>180</v>
      </c>
      <c r="BA6" s="117">
        <f t="shared" si="24"/>
        <v>212</v>
      </c>
      <c r="BB6" s="22">
        <f t="shared" si="25"/>
        <v>988200</v>
      </c>
      <c r="BC6" s="22">
        <f t="shared" si="26"/>
        <v>468000</v>
      </c>
      <c r="BD6" s="22">
        <f t="shared" si="27"/>
        <v>158112</v>
      </c>
      <c r="BE6" s="22">
        <f t="shared" si="28"/>
        <v>14823</v>
      </c>
      <c r="BF6" s="22">
        <f t="shared" si="29"/>
        <v>26974.880000000001</v>
      </c>
      <c r="BG6" s="22">
        <f t="shared" si="30"/>
        <v>5300</v>
      </c>
      <c r="BH6" s="22">
        <f t="shared" si="31"/>
        <v>62223.876000000004</v>
      </c>
      <c r="BI6" s="22">
        <f t="shared" si="32"/>
        <v>5153.7199999999993</v>
      </c>
      <c r="BJ6" s="22">
        <f t="shared" si="33"/>
        <v>0</v>
      </c>
      <c r="BK6" s="22">
        <f t="shared" si="34"/>
        <v>0</v>
      </c>
      <c r="BL6" s="22">
        <f t="shared" si="35"/>
        <v>4071.6800000000003</v>
      </c>
      <c r="BM6" s="22">
        <f t="shared" si="36"/>
        <v>0</v>
      </c>
      <c r="BN6" s="24">
        <f>Y6*I6*(1-'Затраты продавца'!$B$10)*$C$55</f>
        <v>12480.000000000002</v>
      </c>
      <c r="BO6" s="118">
        <f t="shared" si="37"/>
        <v>474</v>
      </c>
      <c r="BP6" s="118">
        <f t="shared" si="38"/>
        <v>474</v>
      </c>
      <c r="BQ6" s="118">
        <f t="shared" si="39"/>
        <v>474</v>
      </c>
    </row>
    <row r="7" spans="1:69" ht="21" customHeight="1" x14ac:dyDescent="0.15">
      <c r="A7" s="3"/>
      <c r="B7" s="12" t="str">
        <f>HYPERLINK("#'SKU'!A4","SKU!4")</f>
        <v>SKU!4</v>
      </c>
      <c r="C7" s="12" t="str">
        <f>SKU!A4</f>
        <v>SM-0003</v>
      </c>
      <c r="D7" s="12" t="str">
        <f>SKU!B4</f>
        <v>Кеды классические</v>
      </c>
      <c r="E7" s="12" t="str">
        <f>SKU!C4</f>
        <v>Обувь</v>
      </c>
      <c r="F7" s="12" t="str">
        <f>SKU!L4</f>
        <v>FBO</v>
      </c>
      <c r="G7" s="116">
        <f>SKU!K4*IF(SKU!L4="не представлен",$C$52,1)</f>
        <v>340</v>
      </c>
      <c r="H7" s="13">
        <f>SKU!D4</f>
        <v>2490</v>
      </c>
      <c r="I7" s="13">
        <f>SKU!E4</f>
        <v>1050</v>
      </c>
      <c r="J7" s="14">
        <f>SKU!I4</f>
        <v>7.04</v>
      </c>
      <c r="K7" s="15">
        <f>SKU!N4</f>
        <v>0.12</v>
      </c>
      <c r="L7" s="16">
        <f>IF(ISNUMBER(SKU!M4),SKU!M4,$C$53)</f>
        <v>48.0312211717468</v>
      </c>
      <c r="M7" s="15">
        <f t="shared" si="0"/>
        <v>0.16</v>
      </c>
      <c r="N7" s="15">
        <f t="shared" si="1"/>
        <v>0.15</v>
      </c>
      <c r="O7" s="17">
        <f t="shared" si="2"/>
        <v>221869.09999999992</v>
      </c>
      <c r="P7" s="17">
        <f t="shared" si="3"/>
        <v>202917.30000000005</v>
      </c>
      <c r="Q7" s="18" t="str">
        <f t="shared" si="4"/>
        <v>FBO</v>
      </c>
      <c r="R7" s="19" t="s">
        <v>112</v>
      </c>
      <c r="S7" s="18" t="str">
        <f t="shared" si="5"/>
        <v>FBO</v>
      </c>
      <c r="T7" s="17">
        <f t="shared" si="6"/>
        <v>221869.09999999992</v>
      </c>
      <c r="U7" s="20">
        <f t="shared" si="7"/>
        <v>0</v>
      </c>
      <c r="V7" s="21">
        <f t="shared" si="8"/>
        <v>0</v>
      </c>
      <c r="W7" s="6"/>
      <c r="X7" s="117">
        <f t="shared" si="9"/>
        <v>387</v>
      </c>
      <c r="Y7" s="117">
        <f t="shared" si="10"/>
        <v>47</v>
      </c>
      <c r="Z7" s="22">
        <f t="shared" si="11"/>
        <v>846600</v>
      </c>
      <c r="AA7" s="22">
        <f t="shared" si="12"/>
        <v>357000</v>
      </c>
      <c r="AB7" s="22">
        <f t="shared" si="13"/>
        <v>135456</v>
      </c>
      <c r="AC7" s="22">
        <f>Z7*Тарифы!$B$32</f>
        <v>12699</v>
      </c>
      <c r="AD7" s="22">
        <f>X7*(Тарифы!$B$18+MAX(0,J7-5)*Тарифы!$B$19)</f>
        <v>38854.800000000003</v>
      </c>
      <c r="AE7" s="22">
        <f>X7*Тарифы!$B$20</f>
        <v>9675</v>
      </c>
      <c r="AF7" s="22">
        <f>BO7*J7*$C$48*IF(E7="Крупногабарит",$C$68,Тарифы!$B$21)</f>
        <v>58924.800000000003</v>
      </c>
      <c r="AG7" s="22">
        <f>X7*J7*'Затраты продавца'!$B$12</f>
        <v>6811.2</v>
      </c>
      <c r="AH7" s="22">
        <f>Y7*(Тарифы!$B$18+MAX(0,J7-5)*Тарифы!$B$19)*Тарифы!$B$22</f>
        <v>4718.8</v>
      </c>
      <c r="AI7" s="117">
        <f t="shared" si="14"/>
        <v>387</v>
      </c>
      <c r="AJ7" s="117">
        <f t="shared" si="15"/>
        <v>39</v>
      </c>
      <c r="AK7" s="117">
        <f t="shared" si="16"/>
        <v>348</v>
      </c>
      <c r="AL7" s="117">
        <f t="shared" si="17"/>
        <v>42</v>
      </c>
      <c r="AM7" s="117">
        <f t="shared" si="18"/>
        <v>306</v>
      </c>
      <c r="AN7" s="22">
        <f t="shared" si="19"/>
        <v>761940</v>
      </c>
      <c r="AO7" s="22">
        <f t="shared" si="20"/>
        <v>321300</v>
      </c>
      <c r="AP7" s="22">
        <f t="shared" si="21"/>
        <v>114291</v>
      </c>
      <c r="AQ7" s="22">
        <f>AN7*Тарифы!$B$32</f>
        <v>11429.1</v>
      </c>
      <c r="AR7" s="22">
        <f>AK7*(Тарифы!$B$25+MAX(0,J7-5)*Тарифы!$B$26)</f>
        <v>34939.200000000004</v>
      </c>
      <c r="AS7" s="22">
        <f>AK7*Тарифы!$B$27</f>
        <v>8700</v>
      </c>
      <c r="AT7" s="22">
        <f>BP7*J7*$C$48*'Затраты продавца'!$B$5</f>
        <v>19641.599999999999</v>
      </c>
      <c r="AU7" s="22">
        <f>AK7*('Затраты продавца'!$B$6+'Затраты продавца'!$B$7)</f>
        <v>24360</v>
      </c>
      <c r="AV7" s="22">
        <f>AK7*Тарифы!$B$24</f>
        <v>3480</v>
      </c>
      <c r="AW7" s="22">
        <f>AL7*((Тарифы!$B$25+MAX(0,J7-5)*Тарифы!$B$26)*Тарифы!$B$28+'Затраты продавца'!$B$9+(1-'Затраты продавца'!$B$10)*I7*$C$55)</f>
        <v>15031.800000000001</v>
      </c>
      <c r="AX7" s="22">
        <f>AJ7*Тарифы!$B$29</f>
        <v>5850</v>
      </c>
      <c r="AY7" s="23">
        <f t="shared" si="22"/>
        <v>2.4499200000000001</v>
      </c>
      <c r="AZ7" s="117">
        <f t="shared" si="23"/>
        <v>340</v>
      </c>
      <c r="BA7" s="117">
        <f t="shared" si="24"/>
        <v>387</v>
      </c>
      <c r="BB7" s="22">
        <f t="shared" si="25"/>
        <v>846600</v>
      </c>
      <c r="BC7" s="22">
        <f t="shared" si="26"/>
        <v>357000</v>
      </c>
      <c r="BD7" s="22">
        <f t="shared" si="27"/>
        <v>135456</v>
      </c>
      <c r="BE7" s="22">
        <f t="shared" si="28"/>
        <v>12699</v>
      </c>
      <c r="BF7" s="22">
        <f t="shared" si="29"/>
        <v>38854.800000000003</v>
      </c>
      <c r="BG7" s="22">
        <f t="shared" si="30"/>
        <v>9675</v>
      </c>
      <c r="BH7" s="22">
        <f t="shared" si="31"/>
        <v>58924.800000000003</v>
      </c>
      <c r="BI7" s="22">
        <f t="shared" si="32"/>
        <v>6811.2</v>
      </c>
      <c r="BJ7" s="22">
        <f t="shared" si="33"/>
        <v>0</v>
      </c>
      <c r="BK7" s="22">
        <f t="shared" si="34"/>
        <v>0</v>
      </c>
      <c r="BL7" s="22">
        <f t="shared" si="35"/>
        <v>4718.8</v>
      </c>
      <c r="BM7" s="22">
        <f t="shared" si="36"/>
        <v>0</v>
      </c>
      <c r="BN7" s="24">
        <f>Y7*I7*(1-'Затраты продавца'!$B$10)*$C$55</f>
        <v>7402.5000000000009</v>
      </c>
      <c r="BO7" s="118">
        <f t="shared" si="37"/>
        <v>620</v>
      </c>
      <c r="BP7" s="118">
        <f t="shared" si="38"/>
        <v>620</v>
      </c>
      <c r="BQ7" s="118">
        <f t="shared" si="39"/>
        <v>620</v>
      </c>
    </row>
    <row r="8" spans="1:69" ht="21" customHeight="1" x14ac:dyDescent="0.15">
      <c r="A8" s="3"/>
      <c r="B8" s="12" t="str">
        <f>HYPERLINK("#'SKU'!A5","SKU!5")</f>
        <v>SKU!5</v>
      </c>
      <c r="C8" s="12" t="str">
        <f>SKU!A5</f>
        <v>SM-0004</v>
      </c>
      <c r="D8" s="12" t="str">
        <f>SKU!B5</f>
        <v>Ботинки треккинговые</v>
      </c>
      <c r="E8" s="12" t="str">
        <f>SKU!C5</f>
        <v>Обувь</v>
      </c>
      <c r="F8" s="12" t="str">
        <f>SKU!L5</f>
        <v>FBO</v>
      </c>
      <c r="G8" s="116">
        <f>SKU!K5*IF(SKU!L5="не представлен",$C$52,1)</f>
        <v>85</v>
      </c>
      <c r="H8" s="13">
        <f>SKU!D5</f>
        <v>7990</v>
      </c>
      <c r="I8" s="13">
        <f>SKU!E5</f>
        <v>3800</v>
      </c>
      <c r="J8" s="14">
        <f>SKU!I5</f>
        <v>11.76</v>
      </c>
      <c r="K8" s="15">
        <f>SKU!N5</f>
        <v>0.16</v>
      </c>
      <c r="L8" s="16">
        <f>IF(ISNUMBER(SKU!M5),SKU!M5,$C$53)</f>
        <v>73.154068075705894</v>
      </c>
      <c r="M8" s="15">
        <f t="shared" si="0"/>
        <v>0.16</v>
      </c>
      <c r="N8" s="15">
        <f t="shared" si="1"/>
        <v>0.15</v>
      </c>
      <c r="O8" s="17">
        <f t="shared" si="2"/>
        <v>167963.11</v>
      </c>
      <c r="P8" s="17">
        <f t="shared" si="3"/>
        <v>168167.72000000003</v>
      </c>
      <c r="Q8" s="18" t="str">
        <f t="shared" si="4"/>
        <v>FBS</v>
      </c>
      <c r="R8" s="19" t="s">
        <v>112</v>
      </c>
      <c r="S8" s="18" t="str">
        <f t="shared" si="5"/>
        <v>FBS</v>
      </c>
      <c r="T8" s="17">
        <f t="shared" si="6"/>
        <v>168167.72000000003</v>
      </c>
      <c r="U8" s="20">
        <f t="shared" si="7"/>
        <v>91</v>
      </c>
      <c r="V8" s="21">
        <f t="shared" si="8"/>
        <v>1.07016</v>
      </c>
      <c r="W8" s="6"/>
      <c r="X8" s="117">
        <f t="shared" si="9"/>
        <v>102</v>
      </c>
      <c r="Y8" s="117">
        <f t="shared" si="10"/>
        <v>17</v>
      </c>
      <c r="Z8" s="22">
        <f t="shared" si="11"/>
        <v>679150</v>
      </c>
      <c r="AA8" s="22">
        <f t="shared" si="12"/>
        <v>323000</v>
      </c>
      <c r="AB8" s="22">
        <f t="shared" si="13"/>
        <v>108664</v>
      </c>
      <c r="AC8" s="22">
        <f>Z8*Тарифы!$B$32</f>
        <v>10187.25</v>
      </c>
      <c r="AD8" s="22">
        <f>X8*(Тарифы!$B$18+MAX(0,J8-5)*Тарифы!$B$19)</f>
        <v>15055.199999999999</v>
      </c>
      <c r="AE8" s="22">
        <f>X8*Тарифы!$B$20</f>
        <v>2550</v>
      </c>
      <c r="AF8" s="22">
        <f>BO8*J8*$C$48*IF(E8="Крупногабарит",$C$68,Тарифы!$B$21)</f>
        <v>39531.24</v>
      </c>
      <c r="AG8" s="22">
        <f>X8*J8*'Затраты продавца'!$B$12</f>
        <v>2998.8</v>
      </c>
      <c r="AH8" s="22">
        <f>Y8*(Тарифы!$B$18+MAX(0,J8-5)*Тарифы!$B$19)*Тарифы!$B$22</f>
        <v>2509.1999999999998</v>
      </c>
      <c r="AI8" s="117">
        <f t="shared" si="14"/>
        <v>102</v>
      </c>
      <c r="AJ8" s="117">
        <f t="shared" si="15"/>
        <v>11</v>
      </c>
      <c r="AK8" s="117">
        <f t="shared" si="16"/>
        <v>91</v>
      </c>
      <c r="AL8" s="117">
        <f t="shared" si="17"/>
        <v>15</v>
      </c>
      <c r="AM8" s="117">
        <f t="shared" si="18"/>
        <v>76</v>
      </c>
      <c r="AN8" s="22">
        <f t="shared" si="19"/>
        <v>607240</v>
      </c>
      <c r="AO8" s="22">
        <f t="shared" si="20"/>
        <v>288800</v>
      </c>
      <c r="AP8" s="22">
        <f t="shared" si="21"/>
        <v>91086</v>
      </c>
      <c r="AQ8" s="22">
        <f>AN8*Тарифы!$B$32</f>
        <v>9108.6</v>
      </c>
      <c r="AR8" s="22">
        <f>AK8*(Тарифы!$B$25+MAX(0,J8-5)*Тарифы!$B$26)</f>
        <v>13431.6</v>
      </c>
      <c r="AS8" s="22">
        <f>AK8*Тарифы!$B$27</f>
        <v>2275</v>
      </c>
      <c r="AT8" s="22">
        <f>BP8*J8*$C$48*'Затраты продавца'!$B$5</f>
        <v>13177.08</v>
      </c>
      <c r="AU8" s="22">
        <f>AK8*('Затраты продавца'!$B$6+'Затраты продавца'!$B$7)</f>
        <v>6370</v>
      </c>
      <c r="AV8" s="22">
        <f>AK8*Тарифы!$B$24</f>
        <v>910</v>
      </c>
      <c r="AW8" s="22">
        <f>AL8*((Тарифы!$B$25+MAX(0,J8-5)*Тарифы!$B$26)*Тарифы!$B$28+'Затраты продавца'!$B$9+(1-'Затраты продавца'!$B$10)*I8*$C$55)</f>
        <v>12264.000000000002</v>
      </c>
      <c r="AX8" s="22">
        <f>AJ8*Тарифы!$B$29</f>
        <v>1650</v>
      </c>
      <c r="AY8" s="23">
        <f t="shared" si="22"/>
        <v>1.07016</v>
      </c>
      <c r="AZ8" s="117">
        <f t="shared" si="23"/>
        <v>76</v>
      </c>
      <c r="BA8" s="117">
        <f t="shared" si="24"/>
        <v>91</v>
      </c>
      <c r="BB8" s="22">
        <f t="shared" si="25"/>
        <v>607240</v>
      </c>
      <c r="BC8" s="22">
        <f t="shared" si="26"/>
        <v>288800</v>
      </c>
      <c r="BD8" s="22">
        <f t="shared" si="27"/>
        <v>91086</v>
      </c>
      <c r="BE8" s="22">
        <f t="shared" si="28"/>
        <v>9108.6</v>
      </c>
      <c r="BF8" s="22">
        <f t="shared" si="29"/>
        <v>13431.6</v>
      </c>
      <c r="BG8" s="22">
        <f t="shared" si="30"/>
        <v>2275</v>
      </c>
      <c r="BH8" s="22">
        <f t="shared" si="31"/>
        <v>13177.08</v>
      </c>
      <c r="BI8" s="22">
        <f t="shared" si="32"/>
        <v>0</v>
      </c>
      <c r="BJ8" s="22">
        <f t="shared" si="33"/>
        <v>6370</v>
      </c>
      <c r="BK8" s="22">
        <f t="shared" si="34"/>
        <v>910</v>
      </c>
      <c r="BL8" s="22">
        <f t="shared" si="35"/>
        <v>12264.000000000002</v>
      </c>
      <c r="BM8" s="22">
        <f t="shared" si="36"/>
        <v>1650</v>
      </c>
      <c r="BN8" s="24">
        <f>Y8*I8*(1-'Затраты продавца'!$B$10)*$C$55</f>
        <v>9690.0000000000018</v>
      </c>
      <c r="BO8" s="118">
        <f t="shared" si="37"/>
        <v>249</v>
      </c>
      <c r="BP8" s="118">
        <f t="shared" si="38"/>
        <v>249</v>
      </c>
      <c r="BQ8" s="118">
        <f t="shared" si="39"/>
        <v>249</v>
      </c>
    </row>
    <row r="9" spans="1:69" ht="21" customHeight="1" x14ac:dyDescent="0.15">
      <c r="A9" s="3"/>
      <c r="B9" s="12" t="str">
        <f>HYPERLINK("#'SKU'!A6","SKU!6")</f>
        <v>SKU!6</v>
      </c>
      <c r="C9" s="12" t="str">
        <f>SKU!A6</f>
        <v>SM-0005</v>
      </c>
      <c r="D9" s="12" t="str">
        <f>SKU!B6</f>
        <v>Сланцы пляжные</v>
      </c>
      <c r="E9" s="12" t="str">
        <f>SKU!C6</f>
        <v>Обувь</v>
      </c>
      <c r="F9" s="12" t="str">
        <f>SKU!L6</f>
        <v>FBO</v>
      </c>
      <c r="G9" s="116">
        <f>SKU!K6*IF(SKU!L6="не представлен",$C$52,1)</f>
        <v>480</v>
      </c>
      <c r="H9" s="13">
        <f>SKU!D6</f>
        <v>890</v>
      </c>
      <c r="I9" s="13">
        <f>SKU!E6</f>
        <v>290</v>
      </c>
      <c r="J9" s="14">
        <f>SKU!I6</f>
        <v>3.36</v>
      </c>
      <c r="K9" s="15">
        <f>SKU!N6</f>
        <v>0.06</v>
      </c>
      <c r="L9" s="16">
        <f>IF(ISNUMBER(SKU!M6),SKU!M6,$C$53)</f>
        <v>79.611473240346001</v>
      </c>
      <c r="M9" s="15">
        <f t="shared" si="0"/>
        <v>0.16</v>
      </c>
      <c r="N9" s="15">
        <f t="shared" si="1"/>
        <v>0.15</v>
      </c>
      <c r="O9" s="17">
        <f t="shared" si="2"/>
        <v>94202.979999999981</v>
      </c>
      <c r="P9" s="17">
        <f t="shared" si="3"/>
        <v>75816.81</v>
      </c>
      <c r="Q9" s="18" t="str">
        <f t="shared" si="4"/>
        <v>FBO</v>
      </c>
      <c r="R9" s="19" t="s">
        <v>112</v>
      </c>
      <c r="S9" s="18" t="str">
        <f t="shared" si="5"/>
        <v>FBO</v>
      </c>
      <c r="T9" s="17">
        <f t="shared" si="6"/>
        <v>94202.979999999981</v>
      </c>
      <c r="U9" s="20">
        <f t="shared" si="7"/>
        <v>0</v>
      </c>
      <c r="V9" s="21">
        <f t="shared" si="8"/>
        <v>0</v>
      </c>
      <c r="W9" s="6"/>
      <c r="X9" s="117">
        <f t="shared" si="9"/>
        <v>511</v>
      </c>
      <c r="Y9" s="117">
        <f t="shared" si="10"/>
        <v>31</v>
      </c>
      <c r="Z9" s="22">
        <f t="shared" si="11"/>
        <v>427200</v>
      </c>
      <c r="AA9" s="22">
        <f t="shared" si="12"/>
        <v>139200</v>
      </c>
      <c r="AB9" s="22">
        <f t="shared" si="13"/>
        <v>68352</v>
      </c>
      <c r="AC9" s="22">
        <f>Z9*Тарифы!$B$32</f>
        <v>6408</v>
      </c>
      <c r="AD9" s="22">
        <f>X9*(Тарифы!$B$18+MAX(0,J9-5)*Тарифы!$B$19)</f>
        <v>40880</v>
      </c>
      <c r="AE9" s="22">
        <f>X9*Тарифы!$B$20</f>
        <v>12775</v>
      </c>
      <c r="AF9" s="22">
        <f>BO9*J9*$C$48*IF(E9="Крупногабарит",$C$68,Тарифы!$B$21)</f>
        <v>61553.51999999999</v>
      </c>
      <c r="AG9" s="22">
        <f>X9*J9*'Затраты продавца'!$B$12</f>
        <v>4292.3999999999996</v>
      </c>
      <c r="AH9" s="22">
        <f>Y9*(Тарифы!$B$18+MAX(0,J9-5)*Тарифы!$B$19)*Тарифы!$B$22</f>
        <v>2480</v>
      </c>
      <c r="AI9" s="117">
        <f t="shared" si="14"/>
        <v>511</v>
      </c>
      <c r="AJ9" s="117">
        <f t="shared" si="15"/>
        <v>52</v>
      </c>
      <c r="AK9" s="117">
        <f t="shared" si="16"/>
        <v>459</v>
      </c>
      <c r="AL9" s="117">
        <f t="shared" si="17"/>
        <v>28</v>
      </c>
      <c r="AM9" s="117">
        <f t="shared" si="18"/>
        <v>431</v>
      </c>
      <c r="AN9" s="22">
        <f t="shared" si="19"/>
        <v>383590</v>
      </c>
      <c r="AO9" s="22">
        <f t="shared" si="20"/>
        <v>124990</v>
      </c>
      <c r="AP9" s="22">
        <f t="shared" si="21"/>
        <v>57538.5</v>
      </c>
      <c r="AQ9" s="22">
        <f>AN9*Тарифы!$B$32</f>
        <v>5753.8499999999995</v>
      </c>
      <c r="AR9" s="22">
        <f>AK9*(Тарифы!$B$25+MAX(0,J9-5)*Тарифы!$B$26)</f>
        <v>36720</v>
      </c>
      <c r="AS9" s="22">
        <f>AK9*Тарифы!$B$27</f>
        <v>11475</v>
      </c>
      <c r="AT9" s="22">
        <f>BP9*J9*$C$48*'Затраты продавца'!$B$5</f>
        <v>20517.839999999997</v>
      </c>
      <c r="AU9" s="22">
        <f>AK9*('Затраты продавца'!$B$6+'Затраты продавца'!$B$7)</f>
        <v>32130</v>
      </c>
      <c r="AV9" s="22">
        <f>AK9*Тарифы!$B$24</f>
        <v>4590</v>
      </c>
      <c r="AW9" s="22">
        <f>AL9*((Тарифы!$B$25+MAX(0,J9-5)*Тарифы!$B$26)*Тарифы!$B$28+'Затраты продавца'!$B$9+(1-'Затраты продавца'!$B$10)*I9*$C$55)</f>
        <v>6258</v>
      </c>
      <c r="AX9" s="22">
        <f>AJ9*Тарифы!$B$29</f>
        <v>7800</v>
      </c>
      <c r="AY9" s="23">
        <f t="shared" si="22"/>
        <v>1.5422400000000001</v>
      </c>
      <c r="AZ9" s="117">
        <f t="shared" si="23"/>
        <v>480</v>
      </c>
      <c r="BA9" s="117">
        <f t="shared" si="24"/>
        <v>511</v>
      </c>
      <c r="BB9" s="22">
        <f t="shared" si="25"/>
        <v>427200</v>
      </c>
      <c r="BC9" s="22">
        <f t="shared" si="26"/>
        <v>139200</v>
      </c>
      <c r="BD9" s="22">
        <f t="shared" si="27"/>
        <v>68352</v>
      </c>
      <c r="BE9" s="22">
        <f t="shared" si="28"/>
        <v>6408</v>
      </c>
      <c r="BF9" s="22">
        <f t="shared" si="29"/>
        <v>40880</v>
      </c>
      <c r="BG9" s="22">
        <f t="shared" si="30"/>
        <v>12775</v>
      </c>
      <c r="BH9" s="22">
        <f t="shared" si="31"/>
        <v>61553.51999999999</v>
      </c>
      <c r="BI9" s="22">
        <f t="shared" si="32"/>
        <v>4292.3999999999996</v>
      </c>
      <c r="BJ9" s="22">
        <f t="shared" si="33"/>
        <v>0</v>
      </c>
      <c r="BK9" s="22">
        <f t="shared" si="34"/>
        <v>0</v>
      </c>
      <c r="BL9" s="22">
        <f t="shared" si="35"/>
        <v>2480</v>
      </c>
      <c r="BM9" s="22">
        <f t="shared" si="36"/>
        <v>0</v>
      </c>
      <c r="BN9" s="24">
        <f>Y9*I9*(1-'Затраты продавца'!$B$10)*$C$55</f>
        <v>1348.5000000000002</v>
      </c>
      <c r="BO9" s="118">
        <f t="shared" si="37"/>
        <v>1357</v>
      </c>
      <c r="BP9" s="118">
        <f t="shared" si="38"/>
        <v>1357</v>
      </c>
      <c r="BQ9" s="118">
        <f t="shared" si="39"/>
        <v>1357</v>
      </c>
    </row>
    <row r="10" spans="1:69" ht="21" customHeight="1" x14ac:dyDescent="0.15">
      <c r="A10" s="3"/>
      <c r="B10" s="12" t="str">
        <f>HYPERLINK("#'SKU'!A7","SKU!7")</f>
        <v>SKU!7</v>
      </c>
      <c r="C10" s="12" t="str">
        <f>SKU!A7</f>
        <v>SM-0006</v>
      </c>
      <c r="D10" s="12" t="str">
        <f>SKU!B7</f>
        <v>Футболка тренировочная</v>
      </c>
      <c r="E10" s="12" t="str">
        <f>SKU!C7</f>
        <v>Одежда</v>
      </c>
      <c r="F10" s="12" t="str">
        <f>SKU!L7</f>
        <v>FBO</v>
      </c>
      <c r="G10" s="116">
        <f>SKU!K7*IF(SKU!L7="не представлен",$C$52,1)</f>
        <v>620</v>
      </c>
      <c r="H10" s="13">
        <f>SKU!D7</f>
        <v>990</v>
      </c>
      <c r="I10" s="13">
        <f>SKU!E7</f>
        <v>340</v>
      </c>
      <c r="J10" s="14">
        <f>SKU!I7</f>
        <v>1.98</v>
      </c>
      <c r="K10" s="15">
        <f>SKU!N7</f>
        <v>0.15</v>
      </c>
      <c r="L10" s="16">
        <f>IF(ISNUMBER(SKU!M7),SKU!M7,$C$53)</f>
        <v>77.881051277751695</v>
      </c>
      <c r="M10" s="15">
        <f t="shared" si="0"/>
        <v>0.17</v>
      </c>
      <c r="N10" s="15">
        <f t="shared" si="1"/>
        <v>0.16</v>
      </c>
      <c r="O10" s="17">
        <f t="shared" si="2"/>
        <v>147706.91999999998</v>
      </c>
      <c r="P10" s="17">
        <f t="shared" si="3"/>
        <v>93769.140000000014</v>
      </c>
      <c r="Q10" s="18" t="str">
        <f t="shared" si="4"/>
        <v>FBO</v>
      </c>
      <c r="R10" s="19" t="s">
        <v>112</v>
      </c>
      <c r="S10" s="18" t="str">
        <f t="shared" si="5"/>
        <v>FBO</v>
      </c>
      <c r="T10" s="17">
        <f t="shared" si="6"/>
        <v>147706.91999999998</v>
      </c>
      <c r="U10" s="20">
        <f t="shared" si="7"/>
        <v>0</v>
      </c>
      <c r="V10" s="21">
        <f t="shared" si="8"/>
        <v>0</v>
      </c>
      <c r="W10" s="6"/>
      <c r="X10" s="117">
        <f t="shared" si="9"/>
        <v>730</v>
      </c>
      <c r="Y10" s="117">
        <f t="shared" si="10"/>
        <v>110</v>
      </c>
      <c r="Z10" s="22">
        <f t="shared" si="11"/>
        <v>613800</v>
      </c>
      <c r="AA10" s="22">
        <f t="shared" si="12"/>
        <v>210800</v>
      </c>
      <c r="AB10" s="22">
        <f t="shared" si="13"/>
        <v>104346.00000000001</v>
      </c>
      <c r="AC10" s="22">
        <f>Z10*Тарифы!$B$32</f>
        <v>9207</v>
      </c>
      <c r="AD10" s="22">
        <f>X10*(Тарифы!$B$18+MAX(0,J10-5)*Тарифы!$B$19)</f>
        <v>58400</v>
      </c>
      <c r="AE10" s="22">
        <f>X10*Тарифы!$B$20</f>
        <v>18250</v>
      </c>
      <c r="AF10" s="22">
        <f>BO10*J10*$C$48*IF(E10="Крупногабарит",$C$68,Тарифы!$B$21)</f>
        <v>50680.08</v>
      </c>
      <c r="AG10" s="22">
        <f>X10*J10*'Затраты продавца'!$B$12</f>
        <v>3613.5</v>
      </c>
      <c r="AH10" s="22">
        <f>Y10*(Тарифы!$B$18+MAX(0,J10-5)*Тарифы!$B$19)*Тарифы!$B$22</f>
        <v>8800</v>
      </c>
      <c r="AI10" s="117">
        <f t="shared" si="14"/>
        <v>730</v>
      </c>
      <c r="AJ10" s="117">
        <f t="shared" si="15"/>
        <v>73</v>
      </c>
      <c r="AK10" s="117">
        <f t="shared" si="16"/>
        <v>657</v>
      </c>
      <c r="AL10" s="117">
        <f t="shared" si="17"/>
        <v>99</v>
      </c>
      <c r="AM10" s="117">
        <f t="shared" si="18"/>
        <v>558</v>
      </c>
      <c r="AN10" s="22">
        <f t="shared" si="19"/>
        <v>552420</v>
      </c>
      <c r="AO10" s="22">
        <f t="shared" si="20"/>
        <v>189720</v>
      </c>
      <c r="AP10" s="22">
        <f t="shared" si="21"/>
        <v>88387.199999999997</v>
      </c>
      <c r="AQ10" s="22">
        <f>AN10*Тарифы!$B$32</f>
        <v>8286.2999999999993</v>
      </c>
      <c r="AR10" s="22">
        <f>AK10*(Тарифы!$B$25+MAX(0,J10-5)*Тарифы!$B$26)</f>
        <v>52560</v>
      </c>
      <c r="AS10" s="22">
        <f>AK10*Тарифы!$B$27</f>
        <v>16425</v>
      </c>
      <c r="AT10" s="22">
        <f>BP10*J10*$C$48*'Затраты продавца'!$B$5</f>
        <v>16893.359999999997</v>
      </c>
      <c r="AU10" s="22">
        <f>AK10*('Затраты продавца'!$B$6+'Затраты продавца'!$B$7)</f>
        <v>45990</v>
      </c>
      <c r="AV10" s="22">
        <f>AK10*Тарифы!$B$24</f>
        <v>6570</v>
      </c>
      <c r="AW10" s="22">
        <f>AL10*((Тарифы!$B$25+MAX(0,J10-5)*Тарифы!$B$26)*Тарифы!$B$28+'Затраты продавца'!$B$9+(1-'Затраты продавца'!$B$10)*I10*$C$55)</f>
        <v>22869</v>
      </c>
      <c r="AX10" s="22">
        <f>AJ10*Тарифы!$B$29</f>
        <v>10950</v>
      </c>
      <c r="AY10" s="23">
        <f t="shared" si="22"/>
        <v>1.3008599999999999</v>
      </c>
      <c r="AZ10" s="117">
        <f t="shared" si="23"/>
        <v>620</v>
      </c>
      <c r="BA10" s="117">
        <f t="shared" si="24"/>
        <v>730</v>
      </c>
      <c r="BB10" s="22">
        <f t="shared" si="25"/>
        <v>613800</v>
      </c>
      <c r="BC10" s="22">
        <f t="shared" si="26"/>
        <v>210800</v>
      </c>
      <c r="BD10" s="22">
        <f t="shared" si="27"/>
        <v>104346.00000000001</v>
      </c>
      <c r="BE10" s="22">
        <f t="shared" si="28"/>
        <v>9207</v>
      </c>
      <c r="BF10" s="22">
        <f t="shared" si="29"/>
        <v>58400</v>
      </c>
      <c r="BG10" s="22">
        <f t="shared" si="30"/>
        <v>18250</v>
      </c>
      <c r="BH10" s="22">
        <f t="shared" si="31"/>
        <v>50680.08</v>
      </c>
      <c r="BI10" s="22">
        <f t="shared" si="32"/>
        <v>3613.5</v>
      </c>
      <c r="BJ10" s="22">
        <f t="shared" si="33"/>
        <v>0</v>
      </c>
      <c r="BK10" s="22">
        <f t="shared" si="34"/>
        <v>0</v>
      </c>
      <c r="BL10" s="22">
        <f t="shared" si="35"/>
        <v>8800</v>
      </c>
      <c r="BM10" s="22">
        <f t="shared" si="36"/>
        <v>0</v>
      </c>
      <c r="BN10" s="24">
        <f>Y10*I10*(1-'Затраты продавца'!$B$10)*$C$55</f>
        <v>5610.0000000000009</v>
      </c>
      <c r="BO10" s="118">
        <f t="shared" si="37"/>
        <v>1896</v>
      </c>
      <c r="BP10" s="118">
        <f t="shared" si="38"/>
        <v>1896</v>
      </c>
      <c r="BQ10" s="118">
        <f t="shared" si="39"/>
        <v>1896</v>
      </c>
    </row>
    <row r="11" spans="1:69" ht="21" customHeight="1" x14ac:dyDescent="0.15">
      <c r="A11" s="3"/>
      <c r="B11" s="12" t="str">
        <f>HYPERLINK("#'SKU'!A8","SKU!8")</f>
        <v>SKU!8</v>
      </c>
      <c r="C11" s="12" t="str">
        <f>SKU!A8</f>
        <v>SM-0007</v>
      </c>
      <c r="D11" s="12" t="str">
        <f>SKU!B8</f>
        <v>Шорты беговые</v>
      </c>
      <c r="E11" s="12" t="str">
        <f>SKU!C8</f>
        <v>Одежда</v>
      </c>
      <c r="F11" s="12" t="str">
        <f>SKU!L8</f>
        <v>FBO</v>
      </c>
      <c r="G11" s="116">
        <f>SKU!K8*IF(SKU!L8="не представлен",$C$52,1)</f>
        <v>380</v>
      </c>
      <c r="H11" s="13">
        <f>SKU!D8</f>
        <v>1290</v>
      </c>
      <c r="I11" s="13">
        <f>SKU!E8</f>
        <v>430</v>
      </c>
      <c r="J11" s="14">
        <f>SKU!I8</f>
        <v>2.2400000000000002</v>
      </c>
      <c r="K11" s="15">
        <f>SKU!N8</f>
        <v>0.14000000000000001</v>
      </c>
      <c r="L11" s="16">
        <f>IF(ISNUMBER(SKU!M8),SKU!M8,$C$53)</f>
        <v>82.191663471933097</v>
      </c>
      <c r="M11" s="15">
        <f t="shared" si="0"/>
        <v>0.17</v>
      </c>
      <c r="N11" s="15">
        <f t="shared" si="1"/>
        <v>0.16</v>
      </c>
      <c r="O11" s="17">
        <f t="shared" si="2"/>
        <v>144123.35999999999</v>
      </c>
      <c r="P11" s="17">
        <f t="shared" si="3"/>
        <v>110185.37</v>
      </c>
      <c r="Q11" s="18" t="str">
        <f t="shared" si="4"/>
        <v>FBO</v>
      </c>
      <c r="R11" s="19" t="s">
        <v>112</v>
      </c>
      <c r="S11" s="18" t="str">
        <f t="shared" si="5"/>
        <v>FBO</v>
      </c>
      <c r="T11" s="17">
        <f t="shared" si="6"/>
        <v>144123.35999999999</v>
      </c>
      <c r="U11" s="20">
        <f t="shared" si="7"/>
        <v>0</v>
      </c>
      <c r="V11" s="21">
        <f t="shared" si="8"/>
        <v>0</v>
      </c>
      <c r="W11" s="6"/>
      <c r="X11" s="117">
        <f t="shared" si="9"/>
        <v>442</v>
      </c>
      <c r="Y11" s="117">
        <f t="shared" si="10"/>
        <v>62</v>
      </c>
      <c r="Z11" s="22">
        <f t="shared" si="11"/>
        <v>490200</v>
      </c>
      <c r="AA11" s="22">
        <f t="shared" si="12"/>
        <v>163400</v>
      </c>
      <c r="AB11" s="22">
        <f t="shared" si="13"/>
        <v>83334</v>
      </c>
      <c r="AC11" s="22">
        <f>Z11*Тарифы!$B$32</f>
        <v>7353</v>
      </c>
      <c r="AD11" s="22">
        <f>X11*(Тарифы!$B$18+MAX(0,J11-5)*Тарифы!$B$19)</f>
        <v>35360</v>
      </c>
      <c r="AE11" s="22">
        <f>X11*Тарифы!$B$20</f>
        <v>11050</v>
      </c>
      <c r="AF11" s="22">
        <f>BO11*J11*$C$48*IF(E11="Крупногабарит",$C$68,Тарифы!$B$21)</f>
        <v>36620.640000000007</v>
      </c>
      <c r="AG11" s="22">
        <f>X11*J11*'Затраты продавца'!$B$12</f>
        <v>2475.2000000000003</v>
      </c>
      <c r="AH11" s="22">
        <f>Y11*(Тарифы!$B$18+MAX(0,J11-5)*Тарифы!$B$19)*Тарифы!$B$22</f>
        <v>4960</v>
      </c>
      <c r="AI11" s="117">
        <f t="shared" si="14"/>
        <v>442</v>
      </c>
      <c r="AJ11" s="117">
        <f t="shared" si="15"/>
        <v>45</v>
      </c>
      <c r="AK11" s="117">
        <f t="shared" si="16"/>
        <v>397</v>
      </c>
      <c r="AL11" s="117">
        <f t="shared" si="17"/>
        <v>56</v>
      </c>
      <c r="AM11" s="117">
        <f t="shared" si="18"/>
        <v>341</v>
      </c>
      <c r="AN11" s="22">
        <f t="shared" si="19"/>
        <v>439890</v>
      </c>
      <c r="AO11" s="22">
        <f t="shared" si="20"/>
        <v>146630</v>
      </c>
      <c r="AP11" s="22">
        <f t="shared" si="21"/>
        <v>70382.400000000009</v>
      </c>
      <c r="AQ11" s="22">
        <f>AN11*Тарифы!$B$32</f>
        <v>6598.3499999999995</v>
      </c>
      <c r="AR11" s="22">
        <f>AK11*(Тарифы!$B$25+MAX(0,J11-5)*Тарифы!$B$26)</f>
        <v>31760</v>
      </c>
      <c r="AS11" s="22">
        <f>AK11*Тарифы!$B$27</f>
        <v>9925</v>
      </c>
      <c r="AT11" s="22">
        <f>BP11*J11*$C$48*'Затраты продавца'!$B$5</f>
        <v>12206.880000000001</v>
      </c>
      <c r="AU11" s="22">
        <f>AK11*('Затраты продавца'!$B$6+'Затраты продавца'!$B$7)</f>
        <v>27790</v>
      </c>
      <c r="AV11" s="22">
        <f>AK11*Тарифы!$B$24</f>
        <v>3970</v>
      </c>
      <c r="AW11" s="22">
        <f>AL11*((Тарифы!$B$25+MAX(0,J11-5)*Тарифы!$B$26)*Тарифы!$B$28+'Затраты продавца'!$B$9+(1-'Затраты продавца'!$B$10)*I11*$C$55)</f>
        <v>13692</v>
      </c>
      <c r="AX11" s="22">
        <f>AJ11*Тарифы!$B$29</f>
        <v>6750</v>
      </c>
      <c r="AY11" s="23">
        <f t="shared" si="22"/>
        <v>0.88928000000000007</v>
      </c>
      <c r="AZ11" s="117">
        <f t="shared" si="23"/>
        <v>380</v>
      </c>
      <c r="BA11" s="117">
        <f t="shared" si="24"/>
        <v>442</v>
      </c>
      <c r="BB11" s="22">
        <f t="shared" si="25"/>
        <v>490200</v>
      </c>
      <c r="BC11" s="22">
        <f t="shared" si="26"/>
        <v>163400</v>
      </c>
      <c r="BD11" s="22">
        <f t="shared" si="27"/>
        <v>83334</v>
      </c>
      <c r="BE11" s="22">
        <f t="shared" si="28"/>
        <v>7353</v>
      </c>
      <c r="BF11" s="22">
        <f t="shared" si="29"/>
        <v>35360</v>
      </c>
      <c r="BG11" s="22">
        <f t="shared" si="30"/>
        <v>11050</v>
      </c>
      <c r="BH11" s="22">
        <f t="shared" si="31"/>
        <v>36620.640000000007</v>
      </c>
      <c r="BI11" s="22">
        <f t="shared" si="32"/>
        <v>2475.2000000000003</v>
      </c>
      <c r="BJ11" s="22">
        <f t="shared" si="33"/>
        <v>0</v>
      </c>
      <c r="BK11" s="22">
        <f t="shared" si="34"/>
        <v>0</v>
      </c>
      <c r="BL11" s="22">
        <f t="shared" si="35"/>
        <v>4960</v>
      </c>
      <c r="BM11" s="22">
        <f t="shared" si="36"/>
        <v>0</v>
      </c>
      <c r="BN11" s="24">
        <f>Y11*I11*(1-'Затраты продавца'!$B$10)*$C$55</f>
        <v>3999.0000000000005</v>
      </c>
      <c r="BO11" s="118">
        <f t="shared" si="37"/>
        <v>1211</v>
      </c>
      <c r="BP11" s="118">
        <f t="shared" si="38"/>
        <v>1211</v>
      </c>
      <c r="BQ11" s="118">
        <f t="shared" si="39"/>
        <v>1211</v>
      </c>
    </row>
    <row r="12" spans="1:69" ht="21" customHeight="1" x14ac:dyDescent="0.15">
      <c r="A12" s="3"/>
      <c r="B12" s="12" t="str">
        <f>HYPERLINK("#'SKU'!A9","SKU!9")</f>
        <v>SKU!9</v>
      </c>
      <c r="C12" s="12" t="str">
        <f>SKU!A9</f>
        <v>SM-0008</v>
      </c>
      <c r="D12" s="12" t="str">
        <f>SKU!B9</f>
        <v>Ветровка для бега</v>
      </c>
      <c r="E12" s="12" t="str">
        <f>SKU!C9</f>
        <v>Одежда</v>
      </c>
      <c r="F12" s="12" t="str">
        <f>SKU!L9</f>
        <v>FBO</v>
      </c>
      <c r="G12" s="116">
        <f>SKU!K9*IF(SKU!L9="не представлен",$C$52,1)</f>
        <v>150</v>
      </c>
      <c r="H12" s="13">
        <f>SKU!D9</f>
        <v>3490</v>
      </c>
      <c r="I12" s="13">
        <f>SKU!E9</f>
        <v>1400</v>
      </c>
      <c r="J12" s="14">
        <f>SKU!I9</f>
        <v>5.25</v>
      </c>
      <c r="K12" s="15">
        <f>SKU!N9</f>
        <v>0.17</v>
      </c>
      <c r="L12" s="16">
        <f>IF(ISNUMBER(SKU!M9),SKU!M9,$C$53)</f>
        <v>79.712035411535496</v>
      </c>
      <c r="M12" s="15">
        <f t="shared" si="0"/>
        <v>0.17</v>
      </c>
      <c r="N12" s="15">
        <f t="shared" si="1"/>
        <v>0.16</v>
      </c>
      <c r="O12" s="17">
        <f t="shared" si="2"/>
        <v>154036.625</v>
      </c>
      <c r="P12" s="17">
        <f t="shared" si="3"/>
        <v>142640.875</v>
      </c>
      <c r="Q12" s="18" t="str">
        <f t="shared" si="4"/>
        <v>FBO</v>
      </c>
      <c r="R12" s="19" t="s">
        <v>112</v>
      </c>
      <c r="S12" s="18" t="str">
        <f t="shared" si="5"/>
        <v>FBO</v>
      </c>
      <c r="T12" s="17">
        <f t="shared" si="6"/>
        <v>154036.625</v>
      </c>
      <c r="U12" s="20">
        <f t="shared" si="7"/>
        <v>0</v>
      </c>
      <c r="V12" s="21">
        <f t="shared" si="8"/>
        <v>0</v>
      </c>
      <c r="W12" s="6"/>
      <c r="X12" s="117">
        <f t="shared" si="9"/>
        <v>181</v>
      </c>
      <c r="Y12" s="117">
        <f t="shared" si="10"/>
        <v>31</v>
      </c>
      <c r="Z12" s="22">
        <f t="shared" si="11"/>
        <v>523500</v>
      </c>
      <c r="AA12" s="22">
        <f t="shared" si="12"/>
        <v>210000</v>
      </c>
      <c r="AB12" s="22">
        <f t="shared" si="13"/>
        <v>88995</v>
      </c>
      <c r="AC12" s="22">
        <f>Z12*Тарифы!$B$32</f>
        <v>7852.5</v>
      </c>
      <c r="AD12" s="22">
        <f>X12*(Тарифы!$B$18+MAX(0,J12-5)*Тарифы!$B$19)</f>
        <v>14932.5</v>
      </c>
      <c r="AE12" s="22">
        <f>X12*Тарифы!$B$20</f>
        <v>4525</v>
      </c>
      <c r="AF12" s="22">
        <f>BO12*J12*$C$48*IF(E12="Крупногабарит",$C$68,Тарифы!$B$21)</f>
        <v>34090.875</v>
      </c>
      <c r="AG12" s="22">
        <f>X12*J12*'Затраты продавца'!$B$12</f>
        <v>2375.625</v>
      </c>
      <c r="AH12" s="22">
        <f>Y12*(Тарифы!$B$18+MAX(0,J12-5)*Тарифы!$B$19)*Тарифы!$B$22</f>
        <v>2557.5</v>
      </c>
      <c r="AI12" s="117">
        <f t="shared" si="14"/>
        <v>181</v>
      </c>
      <c r="AJ12" s="117">
        <f t="shared" si="15"/>
        <v>19</v>
      </c>
      <c r="AK12" s="117">
        <f t="shared" si="16"/>
        <v>162</v>
      </c>
      <c r="AL12" s="117">
        <f t="shared" si="17"/>
        <v>28</v>
      </c>
      <c r="AM12" s="117">
        <f t="shared" si="18"/>
        <v>134</v>
      </c>
      <c r="AN12" s="22">
        <f t="shared" si="19"/>
        <v>467660</v>
      </c>
      <c r="AO12" s="22">
        <f t="shared" si="20"/>
        <v>187600</v>
      </c>
      <c r="AP12" s="22">
        <f t="shared" si="21"/>
        <v>74825.600000000006</v>
      </c>
      <c r="AQ12" s="22">
        <f>AN12*Тарифы!$B$32</f>
        <v>7014.9</v>
      </c>
      <c r="AR12" s="22">
        <f>AK12*(Тарифы!$B$25+MAX(0,J12-5)*Тарифы!$B$26)</f>
        <v>13365</v>
      </c>
      <c r="AS12" s="22">
        <f>AK12*Тарифы!$B$27</f>
        <v>4050</v>
      </c>
      <c r="AT12" s="22">
        <f>BP12*J12*$C$48*'Затраты продавца'!$B$5</f>
        <v>11363.625</v>
      </c>
      <c r="AU12" s="22">
        <f>AK12*('Затраты продавца'!$B$6+'Затраты продавца'!$B$7)</f>
        <v>11340</v>
      </c>
      <c r="AV12" s="22">
        <f>AK12*Тарифы!$B$24</f>
        <v>1620</v>
      </c>
      <c r="AW12" s="22">
        <f>AL12*((Тарифы!$B$25+MAX(0,J12-5)*Тарифы!$B$26)*Тарифы!$B$28+'Затраты продавца'!$B$9+(1-'Затраты продавца'!$B$10)*I12*$C$55)</f>
        <v>10990</v>
      </c>
      <c r="AX12" s="22">
        <f>AJ12*Тарифы!$B$29</f>
        <v>2850</v>
      </c>
      <c r="AY12" s="23">
        <f t="shared" si="22"/>
        <v>0.85050000000000003</v>
      </c>
      <c r="AZ12" s="117">
        <f t="shared" si="23"/>
        <v>150</v>
      </c>
      <c r="BA12" s="117">
        <f t="shared" si="24"/>
        <v>181</v>
      </c>
      <c r="BB12" s="22">
        <f t="shared" si="25"/>
        <v>523500</v>
      </c>
      <c r="BC12" s="22">
        <f t="shared" si="26"/>
        <v>210000</v>
      </c>
      <c r="BD12" s="22">
        <f t="shared" si="27"/>
        <v>88995</v>
      </c>
      <c r="BE12" s="22">
        <f t="shared" si="28"/>
        <v>7852.5</v>
      </c>
      <c r="BF12" s="22">
        <f t="shared" si="29"/>
        <v>14932.5</v>
      </c>
      <c r="BG12" s="22">
        <f t="shared" si="30"/>
        <v>4525</v>
      </c>
      <c r="BH12" s="22">
        <f t="shared" si="31"/>
        <v>34090.875</v>
      </c>
      <c r="BI12" s="22">
        <f t="shared" si="32"/>
        <v>2375.625</v>
      </c>
      <c r="BJ12" s="22">
        <f t="shared" si="33"/>
        <v>0</v>
      </c>
      <c r="BK12" s="22">
        <f t="shared" si="34"/>
        <v>0</v>
      </c>
      <c r="BL12" s="22">
        <f t="shared" si="35"/>
        <v>2557.5</v>
      </c>
      <c r="BM12" s="22">
        <f t="shared" si="36"/>
        <v>0</v>
      </c>
      <c r="BN12" s="24">
        <f>Y12*I12*(1-'Затраты продавца'!$B$10)*$C$55</f>
        <v>6510.0000000000009</v>
      </c>
      <c r="BO12" s="118">
        <f t="shared" si="37"/>
        <v>481</v>
      </c>
      <c r="BP12" s="118">
        <f t="shared" si="38"/>
        <v>481</v>
      </c>
      <c r="BQ12" s="118">
        <f t="shared" si="39"/>
        <v>481</v>
      </c>
    </row>
    <row r="13" spans="1:69" ht="21" customHeight="1" x14ac:dyDescent="0.15">
      <c r="A13" s="3"/>
      <c r="B13" s="12" t="str">
        <f>HYPERLINK("#'SKU'!A10","SKU!10")</f>
        <v>SKU!10</v>
      </c>
      <c r="C13" s="12" t="str">
        <f>SKU!A10</f>
        <v>SM-0009</v>
      </c>
      <c r="D13" s="12" t="str">
        <f>SKU!B10</f>
        <v>Куртка зимняя утеплённая</v>
      </c>
      <c r="E13" s="12" t="str">
        <f>SKU!C10</f>
        <v>Одежда</v>
      </c>
      <c r="F13" s="12" t="str">
        <f>SKU!L10</f>
        <v>FBO</v>
      </c>
      <c r="G13" s="116">
        <f>SKU!K10*IF(SKU!L10="не представлен",$C$52,1)</f>
        <v>18</v>
      </c>
      <c r="H13" s="13">
        <f>SKU!D10</f>
        <v>8990</v>
      </c>
      <c r="I13" s="13">
        <f>SKU!E10</f>
        <v>4100</v>
      </c>
      <c r="J13" s="14">
        <f>SKU!I10</f>
        <v>23.625</v>
      </c>
      <c r="K13" s="15">
        <f>SKU!N10</f>
        <v>0.2</v>
      </c>
      <c r="L13" s="16">
        <f>IF(ISNUMBER(SKU!M10),SKU!M10,$C$53)</f>
        <v>140</v>
      </c>
      <c r="M13" s="15">
        <f t="shared" si="0"/>
        <v>0.17</v>
      </c>
      <c r="N13" s="15">
        <f t="shared" si="1"/>
        <v>0.16</v>
      </c>
      <c r="O13" s="17">
        <f t="shared" si="2"/>
        <v>12533.049999999988</v>
      </c>
      <c r="P13" s="17">
        <f t="shared" si="3"/>
        <v>29786.25</v>
      </c>
      <c r="Q13" s="18" t="str">
        <f t="shared" si="4"/>
        <v>FBS</v>
      </c>
      <c r="R13" s="19" t="s">
        <v>112</v>
      </c>
      <c r="S13" s="18" t="str">
        <f t="shared" si="5"/>
        <v>FBS</v>
      </c>
      <c r="T13" s="17">
        <f t="shared" si="6"/>
        <v>29786.25</v>
      </c>
      <c r="U13" s="20">
        <f t="shared" si="7"/>
        <v>20</v>
      </c>
      <c r="V13" s="21">
        <f t="shared" si="8"/>
        <v>0.47249999999999998</v>
      </c>
      <c r="W13" s="6"/>
      <c r="X13" s="117">
        <f t="shared" si="9"/>
        <v>23</v>
      </c>
      <c r="Y13" s="117">
        <f t="shared" si="10"/>
        <v>5</v>
      </c>
      <c r="Z13" s="22">
        <f t="shared" si="11"/>
        <v>161820</v>
      </c>
      <c r="AA13" s="22">
        <f t="shared" si="12"/>
        <v>73800</v>
      </c>
      <c r="AB13" s="22">
        <f t="shared" si="13"/>
        <v>27509.4</v>
      </c>
      <c r="AC13" s="22">
        <f>Z13*Тарифы!$B$32</f>
        <v>2427.2999999999997</v>
      </c>
      <c r="AD13" s="22">
        <f>X13*(Тарифы!$B$18+MAX(0,J13-5)*Тарифы!$B$19)</f>
        <v>6123.75</v>
      </c>
      <c r="AE13" s="22">
        <f>X13*Тарифы!$B$20</f>
        <v>575</v>
      </c>
      <c r="AF13" s="22">
        <f>BO13*J13*$C$48*IF(E13="Крупногабарит",$C$68,Тарифы!$B$21)</f>
        <v>34445.25</v>
      </c>
      <c r="AG13" s="22">
        <f>X13*J13*'Затраты продавца'!$B$12</f>
        <v>1358.4375</v>
      </c>
      <c r="AH13" s="22">
        <f>Y13*(Тарифы!$B$18+MAX(0,J13-5)*Тарифы!$B$19)*Тарифы!$B$22</f>
        <v>1331.25</v>
      </c>
      <c r="AI13" s="117">
        <f t="shared" si="14"/>
        <v>23</v>
      </c>
      <c r="AJ13" s="117">
        <f t="shared" si="15"/>
        <v>3</v>
      </c>
      <c r="AK13" s="117">
        <f t="shared" si="16"/>
        <v>20</v>
      </c>
      <c r="AL13" s="117">
        <f t="shared" si="17"/>
        <v>4</v>
      </c>
      <c r="AM13" s="117">
        <f t="shared" si="18"/>
        <v>16</v>
      </c>
      <c r="AN13" s="22">
        <f t="shared" si="19"/>
        <v>143840</v>
      </c>
      <c r="AO13" s="22">
        <f t="shared" si="20"/>
        <v>65600</v>
      </c>
      <c r="AP13" s="22">
        <f t="shared" si="21"/>
        <v>23014.400000000001</v>
      </c>
      <c r="AQ13" s="22">
        <f>AN13*Тарифы!$B$32</f>
        <v>2157.6</v>
      </c>
      <c r="AR13" s="22">
        <f>AK13*(Тарифы!$B$25+MAX(0,J13-5)*Тарифы!$B$26)</f>
        <v>5325</v>
      </c>
      <c r="AS13" s="22">
        <f>AK13*Тарифы!$B$27</f>
        <v>500</v>
      </c>
      <c r="AT13" s="22">
        <f>BP13*J13*$C$48*'Затраты продавца'!$B$5</f>
        <v>11481.75</v>
      </c>
      <c r="AU13" s="22">
        <f>AK13*('Затраты продавца'!$B$6+'Затраты продавца'!$B$7)</f>
        <v>1400</v>
      </c>
      <c r="AV13" s="22">
        <f>AK13*Тарифы!$B$24</f>
        <v>200</v>
      </c>
      <c r="AW13" s="22">
        <f>AL13*((Тарифы!$B$25+MAX(0,J13-5)*Тарифы!$B$26)*Тарифы!$B$28+'Затраты продавца'!$B$9+(1-'Затраты продавца'!$B$10)*I13*$C$55)</f>
        <v>3925.0000000000005</v>
      </c>
      <c r="AX13" s="22">
        <f>AJ13*Тарифы!$B$29</f>
        <v>450</v>
      </c>
      <c r="AY13" s="23">
        <f t="shared" si="22"/>
        <v>0.47249999999999998</v>
      </c>
      <c r="AZ13" s="117">
        <f t="shared" si="23"/>
        <v>16</v>
      </c>
      <c r="BA13" s="117">
        <f t="shared" si="24"/>
        <v>20</v>
      </c>
      <c r="BB13" s="22">
        <f t="shared" si="25"/>
        <v>143840</v>
      </c>
      <c r="BC13" s="22">
        <f t="shared" si="26"/>
        <v>65600</v>
      </c>
      <c r="BD13" s="22">
        <f t="shared" si="27"/>
        <v>23014.400000000001</v>
      </c>
      <c r="BE13" s="22">
        <f t="shared" si="28"/>
        <v>2157.6</v>
      </c>
      <c r="BF13" s="22">
        <f t="shared" si="29"/>
        <v>5325</v>
      </c>
      <c r="BG13" s="22">
        <f t="shared" si="30"/>
        <v>500</v>
      </c>
      <c r="BH13" s="22">
        <f t="shared" si="31"/>
        <v>11481.75</v>
      </c>
      <c r="BI13" s="22">
        <f t="shared" si="32"/>
        <v>0</v>
      </c>
      <c r="BJ13" s="22">
        <f t="shared" si="33"/>
        <v>1400</v>
      </c>
      <c r="BK13" s="22">
        <f t="shared" si="34"/>
        <v>200</v>
      </c>
      <c r="BL13" s="22">
        <f t="shared" si="35"/>
        <v>3925.0000000000005</v>
      </c>
      <c r="BM13" s="22">
        <f t="shared" si="36"/>
        <v>450</v>
      </c>
      <c r="BN13" s="24">
        <f>Y13*I13*(1-'Затраты продавца'!$B$10)*$C$55</f>
        <v>3075.0000000000005</v>
      </c>
      <c r="BO13" s="118">
        <f t="shared" si="37"/>
        <v>108</v>
      </c>
      <c r="BP13" s="118">
        <f t="shared" si="38"/>
        <v>108</v>
      </c>
      <c r="BQ13" s="118">
        <f t="shared" si="39"/>
        <v>108</v>
      </c>
    </row>
    <row r="14" spans="1:69" ht="21" customHeight="1" x14ac:dyDescent="0.15">
      <c r="A14" s="3"/>
      <c r="B14" s="12" t="str">
        <f>HYPERLINK("#'SKU'!A11","SKU!11")</f>
        <v>SKU!11</v>
      </c>
      <c r="C14" s="12" t="str">
        <f>SKU!A11</f>
        <v>SM-0010</v>
      </c>
      <c r="D14" s="12" t="str">
        <f>SKU!B11</f>
        <v>Леггинсы женские</v>
      </c>
      <c r="E14" s="12" t="str">
        <f>SKU!C11</f>
        <v>Одежда</v>
      </c>
      <c r="F14" s="12" t="str">
        <f>SKU!L11</f>
        <v>FBO</v>
      </c>
      <c r="G14" s="116">
        <f>SKU!K11*IF(SKU!L11="не представлен",$C$52,1)</f>
        <v>290</v>
      </c>
      <c r="H14" s="13">
        <f>SKU!D11</f>
        <v>1790</v>
      </c>
      <c r="I14" s="13">
        <f>SKU!E11</f>
        <v>620</v>
      </c>
      <c r="J14" s="14">
        <f>SKU!I11</f>
        <v>2.2400000000000002</v>
      </c>
      <c r="K14" s="15">
        <f>SKU!N11</f>
        <v>0.18</v>
      </c>
      <c r="L14" s="16">
        <f>IF(ISNUMBER(SKU!M11),SKU!M11,$C$53)</f>
        <v>77.397200848446502</v>
      </c>
      <c r="M14" s="15">
        <f t="shared" si="0"/>
        <v>0.17</v>
      </c>
      <c r="N14" s="15">
        <f t="shared" si="1"/>
        <v>0.16</v>
      </c>
      <c r="O14" s="17">
        <f t="shared" si="2"/>
        <v>167385.14000000001</v>
      </c>
      <c r="P14" s="17">
        <f t="shared" si="3"/>
        <v>133477.88</v>
      </c>
      <c r="Q14" s="18" t="str">
        <f t="shared" si="4"/>
        <v>FBO</v>
      </c>
      <c r="R14" s="19" t="s">
        <v>112</v>
      </c>
      <c r="S14" s="18" t="str">
        <f t="shared" si="5"/>
        <v>FBO</v>
      </c>
      <c r="T14" s="17">
        <f t="shared" si="6"/>
        <v>167385.14000000001</v>
      </c>
      <c r="U14" s="20">
        <f t="shared" si="7"/>
        <v>0</v>
      </c>
      <c r="V14" s="21">
        <f t="shared" si="8"/>
        <v>0</v>
      </c>
      <c r="W14" s="6"/>
      <c r="X14" s="117">
        <f t="shared" si="9"/>
        <v>354</v>
      </c>
      <c r="Y14" s="117">
        <f t="shared" si="10"/>
        <v>64</v>
      </c>
      <c r="Z14" s="22">
        <f t="shared" si="11"/>
        <v>519100</v>
      </c>
      <c r="AA14" s="22">
        <f t="shared" si="12"/>
        <v>179800</v>
      </c>
      <c r="AB14" s="22">
        <f t="shared" si="13"/>
        <v>88247</v>
      </c>
      <c r="AC14" s="22">
        <f>Z14*Тарифы!$B$32</f>
        <v>7786.5</v>
      </c>
      <c r="AD14" s="22">
        <f>X14*(Тарифы!$B$18+MAX(0,J14-5)*Тарифы!$B$19)</f>
        <v>28320</v>
      </c>
      <c r="AE14" s="22">
        <f>X14*Тарифы!$B$20</f>
        <v>8850</v>
      </c>
      <c r="AF14" s="22">
        <f>BO14*J14*$C$48*IF(E14="Крупногабарит",$C$68,Тарифы!$B$21)</f>
        <v>27639.360000000001</v>
      </c>
      <c r="AG14" s="22">
        <f>X14*J14*'Затраты продавца'!$B$12</f>
        <v>1982.4</v>
      </c>
      <c r="AH14" s="22">
        <f>Y14*(Тарифы!$B$18+MAX(0,J14-5)*Тарифы!$B$19)*Тарифы!$B$22</f>
        <v>5120</v>
      </c>
      <c r="AI14" s="117">
        <f t="shared" si="14"/>
        <v>354</v>
      </c>
      <c r="AJ14" s="117">
        <f t="shared" si="15"/>
        <v>36</v>
      </c>
      <c r="AK14" s="117">
        <f t="shared" si="16"/>
        <v>318</v>
      </c>
      <c r="AL14" s="117">
        <f t="shared" si="17"/>
        <v>58</v>
      </c>
      <c r="AM14" s="117">
        <f t="shared" si="18"/>
        <v>260</v>
      </c>
      <c r="AN14" s="22">
        <f t="shared" si="19"/>
        <v>465400</v>
      </c>
      <c r="AO14" s="22">
        <f t="shared" si="20"/>
        <v>161200</v>
      </c>
      <c r="AP14" s="22">
        <f t="shared" si="21"/>
        <v>74464</v>
      </c>
      <c r="AQ14" s="22">
        <f>AN14*Тарифы!$B$32</f>
        <v>6981</v>
      </c>
      <c r="AR14" s="22">
        <f>AK14*(Тарифы!$B$25+MAX(0,J14-5)*Тарифы!$B$26)</f>
        <v>25440</v>
      </c>
      <c r="AS14" s="22">
        <f>AK14*Тарифы!$B$27</f>
        <v>7950</v>
      </c>
      <c r="AT14" s="22">
        <f>BP14*J14*$C$48*'Затраты продавца'!$B$5</f>
        <v>9213.1200000000008</v>
      </c>
      <c r="AU14" s="22">
        <f>AK14*('Затраты продавца'!$B$6+'Затраты продавца'!$B$7)</f>
        <v>22260</v>
      </c>
      <c r="AV14" s="22">
        <f>AK14*Тарифы!$B$24</f>
        <v>3180</v>
      </c>
      <c r="AW14" s="22">
        <f>AL14*((Тарифы!$B$25+MAX(0,J14-5)*Тарифы!$B$26)*Тарифы!$B$28+'Затраты продавца'!$B$9+(1-'Затраты продавца'!$B$10)*I14*$C$55)</f>
        <v>15834</v>
      </c>
      <c r="AX14" s="22">
        <f>AJ14*Тарифы!$B$29</f>
        <v>5400</v>
      </c>
      <c r="AY14" s="23">
        <f t="shared" si="22"/>
        <v>0.71232000000000006</v>
      </c>
      <c r="AZ14" s="117">
        <f t="shared" si="23"/>
        <v>290</v>
      </c>
      <c r="BA14" s="117">
        <f t="shared" si="24"/>
        <v>354</v>
      </c>
      <c r="BB14" s="22">
        <f t="shared" si="25"/>
        <v>519100</v>
      </c>
      <c r="BC14" s="22">
        <f t="shared" si="26"/>
        <v>179800</v>
      </c>
      <c r="BD14" s="22">
        <f t="shared" si="27"/>
        <v>88247</v>
      </c>
      <c r="BE14" s="22">
        <f t="shared" si="28"/>
        <v>7786.5</v>
      </c>
      <c r="BF14" s="22">
        <f t="shared" si="29"/>
        <v>28320</v>
      </c>
      <c r="BG14" s="22">
        <f t="shared" si="30"/>
        <v>8850</v>
      </c>
      <c r="BH14" s="22">
        <f t="shared" si="31"/>
        <v>27639.360000000001</v>
      </c>
      <c r="BI14" s="22">
        <f t="shared" si="32"/>
        <v>1982.4</v>
      </c>
      <c r="BJ14" s="22">
        <f t="shared" si="33"/>
        <v>0</v>
      </c>
      <c r="BK14" s="22">
        <f t="shared" si="34"/>
        <v>0</v>
      </c>
      <c r="BL14" s="22">
        <f t="shared" si="35"/>
        <v>5120</v>
      </c>
      <c r="BM14" s="22">
        <f t="shared" si="36"/>
        <v>0</v>
      </c>
      <c r="BN14" s="24">
        <f>Y14*I14*(1-'Затраты продавца'!$B$10)*$C$55</f>
        <v>5952.0000000000009</v>
      </c>
      <c r="BO14" s="118">
        <f t="shared" si="37"/>
        <v>914</v>
      </c>
      <c r="BP14" s="118">
        <f t="shared" si="38"/>
        <v>914</v>
      </c>
      <c r="BQ14" s="118">
        <f t="shared" si="39"/>
        <v>914</v>
      </c>
    </row>
    <row r="15" spans="1:69" ht="21" customHeight="1" x14ac:dyDescent="0.15">
      <c r="A15" s="3"/>
      <c r="B15" s="12" t="str">
        <f>HYPERLINK("#'SKU'!A12","SKU!12")</f>
        <v>SKU!12</v>
      </c>
      <c r="C15" s="12" t="str">
        <f>SKU!A12</f>
        <v>SM-0011</v>
      </c>
      <c r="D15" s="12" t="str">
        <f>SKU!B12</f>
        <v>Гантели разборные 2×10 кг</v>
      </c>
      <c r="E15" s="12" t="str">
        <f>SKU!C12</f>
        <v>Фитнес</v>
      </c>
      <c r="F15" s="12" t="str">
        <f>SKU!L12</f>
        <v>FBO</v>
      </c>
      <c r="G15" s="116">
        <f>SKU!K12*IF(SKU!L12="не представлен",$C$52,1)</f>
        <v>60</v>
      </c>
      <c r="H15" s="13">
        <f>SKU!D12</f>
        <v>4990</v>
      </c>
      <c r="I15" s="13">
        <f>SKU!E12</f>
        <v>2750</v>
      </c>
      <c r="J15" s="14">
        <f>SKU!I12</f>
        <v>16.875</v>
      </c>
      <c r="K15" s="15">
        <f>SKU!N12</f>
        <v>0.03</v>
      </c>
      <c r="L15" s="16">
        <f>IF(ISNUMBER(SKU!M12),SKU!M12,$C$53)</f>
        <v>81.658981929829693</v>
      </c>
      <c r="M15" s="15">
        <f t="shared" si="0"/>
        <v>0.15</v>
      </c>
      <c r="N15" s="15">
        <f t="shared" si="1"/>
        <v>0.14000000000000001</v>
      </c>
      <c r="O15" s="17">
        <f t="shared" si="2"/>
        <v>31403.6875</v>
      </c>
      <c r="P15" s="17">
        <f t="shared" si="3"/>
        <v>45714.962500000023</v>
      </c>
      <c r="Q15" s="18" t="str">
        <f t="shared" si="4"/>
        <v>FBS</v>
      </c>
      <c r="R15" s="19" t="s">
        <v>112</v>
      </c>
      <c r="S15" s="18" t="str">
        <f t="shared" si="5"/>
        <v>FBS</v>
      </c>
      <c r="T15" s="17">
        <f t="shared" si="6"/>
        <v>45714.962500000023</v>
      </c>
      <c r="U15" s="20">
        <f t="shared" si="7"/>
        <v>55</v>
      </c>
      <c r="V15" s="21">
        <f t="shared" si="8"/>
        <v>0.92812499999999998</v>
      </c>
      <c r="W15" s="6"/>
      <c r="X15" s="117">
        <f t="shared" si="9"/>
        <v>62</v>
      </c>
      <c r="Y15" s="117">
        <f t="shared" si="10"/>
        <v>2</v>
      </c>
      <c r="Z15" s="22">
        <f t="shared" si="11"/>
        <v>299400</v>
      </c>
      <c r="AA15" s="22">
        <f t="shared" si="12"/>
        <v>165000</v>
      </c>
      <c r="AB15" s="22">
        <f t="shared" si="13"/>
        <v>44910</v>
      </c>
      <c r="AC15" s="22">
        <f>Z15*Тарифы!$B$32</f>
        <v>4491</v>
      </c>
      <c r="AD15" s="22">
        <f>X15*(Тарифы!$B$18+MAX(0,J15-5)*Тарифы!$B$19)</f>
        <v>12322.5</v>
      </c>
      <c r="AE15" s="22">
        <f>X15*Тарифы!$B$20</f>
        <v>1550</v>
      </c>
      <c r="AF15" s="22">
        <f>BO15*J15*$C$48*IF(E15="Крупногабарит",$C$68,Тарифы!$B$21)</f>
        <v>38500.3125</v>
      </c>
      <c r="AG15" s="22">
        <f>X15*J15*'Затраты продавца'!$B$12</f>
        <v>2615.625</v>
      </c>
      <c r="AH15" s="22">
        <f>Y15*(Тарифы!$B$18+MAX(0,J15-5)*Тарифы!$B$19)*Тарифы!$B$22</f>
        <v>397.5</v>
      </c>
      <c r="AI15" s="117">
        <f t="shared" si="14"/>
        <v>62</v>
      </c>
      <c r="AJ15" s="117">
        <f t="shared" si="15"/>
        <v>7</v>
      </c>
      <c r="AK15" s="117">
        <f t="shared" si="16"/>
        <v>55</v>
      </c>
      <c r="AL15" s="117">
        <f t="shared" si="17"/>
        <v>2</v>
      </c>
      <c r="AM15" s="117">
        <f t="shared" si="18"/>
        <v>53</v>
      </c>
      <c r="AN15" s="22">
        <f t="shared" si="19"/>
        <v>264470</v>
      </c>
      <c r="AO15" s="22">
        <f t="shared" si="20"/>
        <v>145750</v>
      </c>
      <c r="AP15" s="22">
        <f t="shared" si="21"/>
        <v>37025.800000000003</v>
      </c>
      <c r="AQ15" s="22">
        <f>AN15*Тарифы!$B$32</f>
        <v>3967.0499999999997</v>
      </c>
      <c r="AR15" s="22">
        <f>AK15*(Тарифы!$B$25+MAX(0,J15-5)*Тарифы!$B$26)</f>
        <v>10931.25</v>
      </c>
      <c r="AS15" s="22">
        <f>AK15*Тарифы!$B$27</f>
        <v>1375</v>
      </c>
      <c r="AT15" s="22">
        <f>BP15*J15*$C$48*'Затраты продавца'!$B$5</f>
        <v>12833.4375</v>
      </c>
      <c r="AU15" s="22">
        <f>AK15*('Затраты продавца'!$B$6+'Затраты продавца'!$B$7)</f>
        <v>3850</v>
      </c>
      <c r="AV15" s="22">
        <f>AK15*Тарифы!$B$24</f>
        <v>550</v>
      </c>
      <c r="AW15" s="22">
        <f>AL15*((Тарифы!$B$25+MAX(0,J15-5)*Тарифы!$B$26)*Тарифы!$B$28+'Затраты продавца'!$B$9+(1-'Затраты продавца'!$B$10)*I15*$C$55)</f>
        <v>1422.5</v>
      </c>
      <c r="AX15" s="22">
        <f>AJ15*Тарифы!$B$29</f>
        <v>1050</v>
      </c>
      <c r="AY15" s="23">
        <f t="shared" si="22"/>
        <v>0.92812499999999998</v>
      </c>
      <c r="AZ15" s="117">
        <f t="shared" si="23"/>
        <v>53</v>
      </c>
      <c r="BA15" s="117">
        <f t="shared" si="24"/>
        <v>55</v>
      </c>
      <c r="BB15" s="22">
        <f t="shared" si="25"/>
        <v>264470</v>
      </c>
      <c r="BC15" s="22">
        <f t="shared" si="26"/>
        <v>145750</v>
      </c>
      <c r="BD15" s="22">
        <f t="shared" si="27"/>
        <v>37025.800000000003</v>
      </c>
      <c r="BE15" s="22">
        <f t="shared" si="28"/>
        <v>3967.0499999999997</v>
      </c>
      <c r="BF15" s="22">
        <f t="shared" si="29"/>
        <v>10931.25</v>
      </c>
      <c r="BG15" s="22">
        <f t="shared" si="30"/>
        <v>1375</v>
      </c>
      <c r="BH15" s="22">
        <f t="shared" si="31"/>
        <v>12833.4375</v>
      </c>
      <c r="BI15" s="22">
        <f t="shared" si="32"/>
        <v>0</v>
      </c>
      <c r="BJ15" s="22">
        <f t="shared" si="33"/>
        <v>3850</v>
      </c>
      <c r="BK15" s="22">
        <f t="shared" si="34"/>
        <v>550</v>
      </c>
      <c r="BL15" s="22">
        <f t="shared" si="35"/>
        <v>1422.5</v>
      </c>
      <c r="BM15" s="22">
        <f t="shared" si="36"/>
        <v>1050</v>
      </c>
      <c r="BN15" s="24">
        <f>Y15*I15*(1-'Затраты продавца'!$B$10)*$C$55</f>
        <v>825.00000000000011</v>
      </c>
      <c r="BO15" s="118">
        <f t="shared" si="37"/>
        <v>169</v>
      </c>
      <c r="BP15" s="118">
        <f t="shared" si="38"/>
        <v>169</v>
      </c>
      <c r="BQ15" s="118">
        <f t="shared" si="39"/>
        <v>169</v>
      </c>
    </row>
    <row r="16" spans="1:69" ht="21" customHeight="1" x14ac:dyDescent="0.15">
      <c r="A16" s="3"/>
      <c r="B16" s="12" t="str">
        <f>HYPERLINK("#'SKU'!A13","SKU!13")</f>
        <v>SKU!13</v>
      </c>
      <c r="C16" s="12" t="str">
        <f>SKU!A13</f>
        <v>SM-0012</v>
      </c>
      <c r="D16" s="12" t="str">
        <f>SKU!B13</f>
        <v>Гиря чугунная 16 кг</v>
      </c>
      <c r="E16" s="12" t="str">
        <f>SKU!C13</f>
        <v>Фитнес</v>
      </c>
      <c r="F16" s="12" t="str">
        <f>SKU!L13</f>
        <v>FBO</v>
      </c>
      <c r="G16" s="116">
        <f>SKU!K13*IF(SKU!L13="не представлен",$C$52,1)</f>
        <v>45</v>
      </c>
      <c r="H16" s="13">
        <f>SKU!D13</f>
        <v>2990</v>
      </c>
      <c r="I16" s="13">
        <f>SKU!E13</f>
        <v>1750</v>
      </c>
      <c r="J16" s="14">
        <f>SKU!I13</f>
        <v>11</v>
      </c>
      <c r="K16" s="15">
        <f>SKU!N13</f>
        <v>0.02</v>
      </c>
      <c r="L16" s="16">
        <f>IF(ISNUMBER(SKU!M13),SKU!M13,$C$53)</f>
        <v>60.716212370823399</v>
      </c>
      <c r="M16" s="15">
        <f t="shared" si="0"/>
        <v>0.15</v>
      </c>
      <c r="N16" s="15">
        <f t="shared" si="1"/>
        <v>0.14000000000000001</v>
      </c>
      <c r="O16" s="17">
        <f t="shared" si="2"/>
        <v>11647.75</v>
      </c>
      <c r="P16" s="17">
        <f t="shared" si="3"/>
        <v>15111.5</v>
      </c>
      <c r="Q16" s="18" t="str">
        <f t="shared" si="4"/>
        <v>FBS</v>
      </c>
      <c r="R16" s="19" t="s">
        <v>112</v>
      </c>
      <c r="S16" s="18" t="str">
        <f t="shared" si="5"/>
        <v>FBS</v>
      </c>
      <c r="T16" s="17">
        <f t="shared" si="6"/>
        <v>15111.5</v>
      </c>
      <c r="U16" s="20">
        <f t="shared" si="7"/>
        <v>41</v>
      </c>
      <c r="V16" s="21">
        <f t="shared" si="8"/>
        <v>0.45100000000000001</v>
      </c>
      <c r="W16" s="6"/>
      <c r="X16" s="117">
        <f t="shared" si="9"/>
        <v>46</v>
      </c>
      <c r="Y16" s="117">
        <f t="shared" si="10"/>
        <v>1</v>
      </c>
      <c r="Z16" s="22">
        <f t="shared" si="11"/>
        <v>134550</v>
      </c>
      <c r="AA16" s="22">
        <f t="shared" si="12"/>
        <v>78750</v>
      </c>
      <c r="AB16" s="22">
        <f t="shared" si="13"/>
        <v>20182.5</v>
      </c>
      <c r="AC16" s="22">
        <f>Z16*Тарифы!$B$32</f>
        <v>2018.25</v>
      </c>
      <c r="AD16" s="22">
        <f>X16*(Тарифы!$B$18+MAX(0,J16-5)*Тарифы!$B$19)</f>
        <v>6440</v>
      </c>
      <c r="AE16" s="22">
        <f>X16*Тарифы!$B$20</f>
        <v>1150</v>
      </c>
      <c r="AF16" s="22">
        <f>BO16*J16*$C$48*IF(E16="Крупногабарит",$C$68,Тарифы!$B$21)</f>
        <v>13959</v>
      </c>
      <c r="AG16" s="22">
        <f>X16*J16*'Затраты продавца'!$B$12</f>
        <v>1265</v>
      </c>
      <c r="AH16" s="22">
        <f>Y16*(Тарифы!$B$18+MAX(0,J16-5)*Тарифы!$B$19)*Тарифы!$B$22</f>
        <v>140</v>
      </c>
      <c r="AI16" s="117">
        <f t="shared" si="14"/>
        <v>46</v>
      </c>
      <c r="AJ16" s="117">
        <f t="shared" si="15"/>
        <v>5</v>
      </c>
      <c r="AK16" s="117">
        <f t="shared" si="16"/>
        <v>41</v>
      </c>
      <c r="AL16" s="117">
        <f t="shared" si="17"/>
        <v>1</v>
      </c>
      <c r="AM16" s="117">
        <f t="shared" si="18"/>
        <v>40</v>
      </c>
      <c r="AN16" s="22">
        <f t="shared" si="19"/>
        <v>119600</v>
      </c>
      <c r="AO16" s="22">
        <f t="shared" si="20"/>
        <v>70000</v>
      </c>
      <c r="AP16" s="22">
        <f t="shared" si="21"/>
        <v>16744</v>
      </c>
      <c r="AQ16" s="22">
        <f>AN16*Тарифы!$B$32</f>
        <v>1794</v>
      </c>
      <c r="AR16" s="22">
        <f>AK16*(Тарифы!$B$25+MAX(0,J16-5)*Тарифы!$B$26)</f>
        <v>5740</v>
      </c>
      <c r="AS16" s="22">
        <f>AK16*Тарифы!$B$27</f>
        <v>1025</v>
      </c>
      <c r="AT16" s="22">
        <f>BP16*J16*$C$48*'Затраты продавца'!$B$5</f>
        <v>4653</v>
      </c>
      <c r="AU16" s="22">
        <f>AK16*('Затраты продавца'!$B$6+'Затраты продавца'!$B$7)</f>
        <v>2870</v>
      </c>
      <c r="AV16" s="22">
        <f>AK16*Тарифы!$B$24</f>
        <v>410</v>
      </c>
      <c r="AW16" s="22">
        <f>AL16*((Тарифы!$B$25+MAX(0,J16-5)*Тарифы!$B$26)*Тарифы!$B$28+'Затраты продавца'!$B$9+(1-'Затраты продавца'!$B$10)*I16*$C$55)</f>
        <v>502.50000000000006</v>
      </c>
      <c r="AX16" s="22">
        <f>AJ16*Тарифы!$B$29</f>
        <v>750</v>
      </c>
      <c r="AY16" s="23">
        <f t="shared" si="22"/>
        <v>0.45100000000000001</v>
      </c>
      <c r="AZ16" s="117">
        <f t="shared" si="23"/>
        <v>40</v>
      </c>
      <c r="BA16" s="117">
        <f t="shared" si="24"/>
        <v>41</v>
      </c>
      <c r="BB16" s="22">
        <f t="shared" si="25"/>
        <v>119600</v>
      </c>
      <c r="BC16" s="22">
        <f t="shared" si="26"/>
        <v>70000</v>
      </c>
      <c r="BD16" s="22">
        <f t="shared" si="27"/>
        <v>16744</v>
      </c>
      <c r="BE16" s="22">
        <f t="shared" si="28"/>
        <v>1794</v>
      </c>
      <c r="BF16" s="22">
        <f t="shared" si="29"/>
        <v>5740</v>
      </c>
      <c r="BG16" s="22">
        <f t="shared" si="30"/>
        <v>1025</v>
      </c>
      <c r="BH16" s="22">
        <f t="shared" si="31"/>
        <v>4653</v>
      </c>
      <c r="BI16" s="22">
        <f t="shared" si="32"/>
        <v>0</v>
      </c>
      <c r="BJ16" s="22">
        <f t="shared" si="33"/>
        <v>2870</v>
      </c>
      <c r="BK16" s="22">
        <f t="shared" si="34"/>
        <v>410</v>
      </c>
      <c r="BL16" s="22">
        <f t="shared" si="35"/>
        <v>502.50000000000006</v>
      </c>
      <c r="BM16" s="22">
        <f t="shared" si="36"/>
        <v>750</v>
      </c>
      <c r="BN16" s="24">
        <f>Y16*I16*(1-'Затраты продавца'!$B$10)*$C$55</f>
        <v>262.50000000000006</v>
      </c>
      <c r="BO16" s="118">
        <f t="shared" si="37"/>
        <v>94</v>
      </c>
      <c r="BP16" s="118">
        <f t="shared" si="38"/>
        <v>94</v>
      </c>
      <c r="BQ16" s="118">
        <f t="shared" si="39"/>
        <v>94</v>
      </c>
    </row>
    <row r="17" spans="1:69" ht="21" customHeight="1" x14ac:dyDescent="0.15">
      <c r="A17" s="3"/>
      <c r="B17" s="12" t="str">
        <f>HYPERLINK("#'SKU'!A14","SKU!14")</f>
        <v>SKU!14</v>
      </c>
      <c r="C17" s="12" t="str">
        <f>SKU!A14</f>
        <v>SM-0013</v>
      </c>
      <c r="D17" s="12" t="str">
        <f>SKU!B14</f>
        <v>Коврик для йоги 6 мм</v>
      </c>
      <c r="E17" s="12" t="str">
        <f>SKU!C14</f>
        <v>Фитнес</v>
      </c>
      <c r="F17" s="12" t="str">
        <f>SKU!L14</f>
        <v>FBO</v>
      </c>
      <c r="G17" s="116">
        <f>SKU!K14*IF(SKU!L14="не представлен",$C$52,1)</f>
        <v>320</v>
      </c>
      <c r="H17" s="13">
        <f>SKU!D14</f>
        <v>1490</v>
      </c>
      <c r="I17" s="13">
        <f>SKU!E14</f>
        <v>520</v>
      </c>
      <c r="J17" s="14">
        <f>SKU!I14</f>
        <v>14.85</v>
      </c>
      <c r="K17" s="15">
        <f>SKU!N14</f>
        <v>0.04</v>
      </c>
      <c r="L17" s="16">
        <f>IF(ISNUMBER(SKU!M14),SKU!M14,$C$53)</f>
        <v>88.153618622041805</v>
      </c>
      <c r="M17" s="15">
        <f t="shared" si="0"/>
        <v>0.15</v>
      </c>
      <c r="N17" s="15">
        <f t="shared" si="1"/>
        <v>0.14000000000000001</v>
      </c>
      <c r="O17" s="25">
        <f t="shared" si="2"/>
        <v>-36698.449999999953</v>
      </c>
      <c r="P17" s="17">
        <f t="shared" si="3"/>
        <v>52796.25</v>
      </c>
      <c r="Q17" s="18" t="str">
        <f t="shared" si="4"/>
        <v>FBS</v>
      </c>
      <c r="R17" s="19" t="s">
        <v>112</v>
      </c>
      <c r="S17" s="18" t="str">
        <f t="shared" si="5"/>
        <v>FBS</v>
      </c>
      <c r="T17" s="17">
        <f t="shared" si="6"/>
        <v>52796.25</v>
      </c>
      <c r="U17" s="20">
        <f t="shared" si="7"/>
        <v>300</v>
      </c>
      <c r="V17" s="21">
        <f t="shared" si="8"/>
        <v>4.4550000000000001</v>
      </c>
      <c r="W17" s="6"/>
      <c r="X17" s="117">
        <f t="shared" si="9"/>
        <v>334</v>
      </c>
      <c r="Y17" s="117">
        <f t="shared" si="10"/>
        <v>14</v>
      </c>
      <c r="Z17" s="22">
        <f t="shared" si="11"/>
        <v>476800</v>
      </c>
      <c r="AA17" s="22">
        <f t="shared" si="12"/>
        <v>166400</v>
      </c>
      <c r="AB17" s="22">
        <f t="shared" si="13"/>
        <v>71520</v>
      </c>
      <c r="AC17" s="22">
        <f>Z17*Тарифы!$B$32</f>
        <v>7152</v>
      </c>
      <c r="AD17" s="22">
        <f>X17*(Тарифы!$B$18+MAX(0,J17-5)*Тарифы!$B$19)</f>
        <v>59619</v>
      </c>
      <c r="AE17" s="22">
        <f>X17*Тарифы!$B$20</f>
        <v>8350</v>
      </c>
      <c r="AF17" s="22">
        <f>BO17*J17*$C$48*IF(E17="Крупногабарит",$C$68,Тарифы!$B$21)</f>
        <v>196866.44999999998</v>
      </c>
      <c r="AG17" s="22">
        <f>X17*J17*'Затраты продавца'!$B$12</f>
        <v>12399.75</v>
      </c>
      <c r="AH17" s="22">
        <f>Y17*(Тарифы!$B$18+MAX(0,J17-5)*Тарифы!$B$19)*Тарифы!$B$22</f>
        <v>2499</v>
      </c>
      <c r="AI17" s="117">
        <f t="shared" si="14"/>
        <v>334</v>
      </c>
      <c r="AJ17" s="117">
        <f t="shared" si="15"/>
        <v>34</v>
      </c>
      <c r="AK17" s="117">
        <f t="shared" si="16"/>
        <v>300</v>
      </c>
      <c r="AL17" s="117">
        <f t="shared" si="17"/>
        <v>12</v>
      </c>
      <c r="AM17" s="117">
        <f t="shared" si="18"/>
        <v>288</v>
      </c>
      <c r="AN17" s="22">
        <f t="shared" si="19"/>
        <v>429120</v>
      </c>
      <c r="AO17" s="22">
        <f t="shared" si="20"/>
        <v>149760</v>
      </c>
      <c r="AP17" s="22">
        <f t="shared" si="21"/>
        <v>60076.800000000003</v>
      </c>
      <c r="AQ17" s="22">
        <f>AN17*Тарифы!$B$32</f>
        <v>6436.8</v>
      </c>
      <c r="AR17" s="22">
        <f>AK17*(Тарифы!$B$25+MAX(0,J17-5)*Тарифы!$B$26)</f>
        <v>53550</v>
      </c>
      <c r="AS17" s="22">
        <f>AK17*Тарифы!$B$27</f>
        <v>7500</v>
      </c>
      <c r="AT17" s="22">
        <f>BP17*J17*$C$48*'Затраты продавца'!$B$5</f>
        <v>65622.149999999994</v>
      </c>
      <c r="AU17" s="22">
        <f>AK17*('Затраты продавца'!$B$6+'Затраты продавца'!$B$7)</f>
        <v>21000</v>
      </c>
      <c r="AV17" s="22">
        <f>AK17*Тарифы!$B$24</f>
        <v>3000</v>
      </c>
      <c r="AW17" s="22">
        <f>AL17*((Тарифы!$B$25+MAX(0,J17-5)*Тарифы!$B$26)*Тарифы!$B$28+'Затраты продавца'!$B$9+(1-'Затраты продавца'!$B$10)*I17*$C$55)</f>
        <v>4278</v>
      </c>
      <c r="AX17" s="22">
        <f>AJ17*Тарифы!$B$29</f>
        <v>5100</v>
      </c>
      <c r="AY17" s="23">
        <f t="shared" si="22"/>
        <v>4.4550000000000001</v>
      </c>
      <c r="AZ17" s="117">
        <f t="shared" si="23"/>
        <v>288</v>
      </c>
      <c r="BA17" s="117">
        <f t="shared" si="24"/>
        <v>300</v>
      </c>
      <c r="BB17" s="22">
        <f t="shared" si="25"/>
        <v>429120</v>
      </c>
      <c r="BC17" s="22">
        <f t="shared" si="26"/>
        <v>149760</v>
      </c>
      <c r="BD17" s="22">
        <f t="shared" si="27"/>
        <v>60076.800000000003</v>
      </c>
      <c r="BE17" s="22">
        <f t="shared" si="28"/>
        <v>6436.8</v>
      </c>
      <c r="BF17" s="22">
        <f t="shared" si="29"/>
        <v>53550</v>
      </c>
      <c r="BG17" s="22">
        <f t="shared" si="30"/>
        <v>7500</v>
      </c>
      <c r="BH17" s="22">
        <f t="shared" si="31"/>
        <v>65622.149999999994</v>
      </c>
      <c r="BI17" s="22">
        <f t="shared" si="32"/>
        <v>0</v>
      </c>
      <c r="BJ17" s="22">
        <f t="shared" si="33"/>
        <v>21000</v>
      </c>
      <c r="BK17" s="22">
        <f t="shared" si="34"/>
        <v>3000</v>
      </c>
      <c r="BL17" s="22">
        <f t="shared" si="35"/>
        <v>4278</v>
      </c>
      <c r="BM17" s="22">
        <f t="shared" si="36"/>
        <v>5100</v>
      </c>
      <c r="BN17" s="24">
        <f>Y17*I17*(1-'Затраты продавца'!$B$10)*$C$55</f>
        <v>1092.0000000000002</v>
      </c>
      <c r="BO17" s="118">
        <f t="shared" si="37"/>
        <v>982</v>
      </c>
      <c r="BP17" s="118">
        <f t="shared" si="38"/>
        <v>982</v>
      </c>
      <c r="BQ17" s="118">
        <f t="shared" si="39"/>
        <v>982</v>
      </c>
    </row>
    <row r="18" spans="1:69" ht="21" customHeight="1" x14ac:dyDescent="0.15">
      <c r="A18" s="3"/>
      <c r="B18" s="12" t="str">
        <f>HYPERLINK("#'SKU'!A15","SKU!15")</f>
        <v>SKU!15</v>
      </c>
      <c r="C18" s="12" t="str">
        <f>SKU!A15</f>
        <v>SM-0014</v>
      </c>
      <c r="D18" s="12" t="str">
        <f>SKU!B15</f>
        <v>Набор эспандеров</v>
      </c>
      <c r="E18" s="12" t="str">
        <f>SKU!C15</f>
        <v>Фитнес</v>
      </c>
      <c r="F18" s="12" t="str">
        <f>SKU!L15</f>
        <v>FBO</v>
      </c>
      <c r="G18" s="116">
        <f>SKU!K15*IF(SKU!L15="не представлен",$C$52,1)</f>
        <v>410</v>
      </c>
      <c r="H18" s="13">
        <f>SKU!D15</f>
        <v>790</v>
      </c>
      <c r="I18" s="13">
        <f>SKU!E15</f>
        <v>260</v>
      </c>
      <c r="J18" s="14">
        <f>SKU!I15</f>
        <v>1.296</v>
      </c>
      <c r="K18" s="15">
        <f>SKU!N15</f>
        <v>0.04</v>
      </c>
      <c r="L18" s="16">
        <f>IF(ISNUMBER(SKU!M15),SKU!M15,$C$53)</f>
        <v>44.843154704588301</v>
      </c>
      <c r="M18" s="15">
        <f t="shared" si="0"/>
        <v>0.15</v>
      </c>
      <c r="N18" s="15">
        <f t="shared" si="1"/>
        <v>0.14000000000000001</v>
      </c>
      <c r="O18" s="17">
        <f t="shared" si="2"/>
        <v>105577.06</v>
      </c>
      <c r="P18" s="17">
        <f t="shared" si="3"/>
        <v>65474.47</v>
      </c>
      <c r="Q18" s="18" t="str">
        <f t="shared" si="4"/>
        <v>FBO</v>
      </c>
      <c r="R18" s="19" t="s">
        <v>112</v>
      </c>
      <c r="S18" s="18" t="str">
        <f t="shared" si="5"/>
        <v>FBO</v>
      </c>
      <c r="T18" s="17">
        <f t="shared" si="6"/>
        <v>105577.06</v>
      </c>
      <c r="U18" s="20">
        <f t="shared" si="7"/>
        <v>0</v>
      </c>
      <c r="V18" s="21">
        <f t="shared" si="8"/>
        <v>0</v>
      </c>
      <c r="W18" s="6"/>
      <c r="X18" s="117">
        <f t="shared" si="9"/>
        <v>428</v>
      </c>
      <c r="Y18" s="117">
        <f t="shared" si="10"/>
        <v>18</v>
      </c>
      <c r="Z18" s="22">
        <f t="shared" si="11"/>
        <v>323900</v>
      </c>
      <c r="AA18" s="22">
        <f t="shared" si="12"/>
        <v>106600</v>
      </c>
      <c r="AB18" s="22">
        <f t="shared" si="13"/>
        <v>48585</v>
      </c>
      <c r="AC18" s="22">
        <f>Z18*Тарифы!$B$32</f>
        <v>4858.5</v>
      </c>
      <c r="AD18" s="22">
        <f>X18*(Тарифы!$B$18+MAX(0,J18-5)*Тарифы!$B$19)</f>
        <v>34240</v>
      </c>
      <c r="AE18" s="22">
        <f>X18*Тарифы!$B$20</f>
        <v>10700</v>
      </c>
      <c r="AF18" s="22">
        <f>BO18*J18*$C$48*IF(E18="Крупногабарит",$C$68,Тарифы!$B$21)</f>
        <v>11197.44</v>
      </c>
      <c r="AG18" s="22">
        <f>X18*J18*'Затраты продавца'!$B$12</f>
        <v>1386.72</v>
      </c>
      <c r="AH18" s="22">
        <f>Y18*(Тарифы!$B$18+MAX(0,J18-5)*Тарифы!$B$19)*Тарифы!$B$22</f>
        <v>1440</v>
      </c>
      <c r="AI18" s="117">
        <f t="shared" si="14"/>
        <v>428</v>
      </c>
      <c r="AJ18" s="117">
        <f t="shared" si="15"/>
        <v>43</v>
      </c>
      <c r="AK18" s="117">
        <f t="shared" si="16"/>
        <v>385</v>
      </c>
      <c r="AL18" s="117">
        <f t="shared" si="17"/>
        <v>16</v>
      </c>
      <c r="AM18" s="117">
        <f t="shared" si="18"/>
        <v>369</v>
      </c>
      <c r="AN18" s="22">
        <f t="shared" si="19"/>
        <v>291510</v>
      </c>
      <c r="AO18" s="22">
        <f t="shared" si="20"/>
        <v>95940</v>
      </c>
      <c r="AP18" s="22">
        <f t="shared" si="21"/>
        <v>40811.4</v>
      </c>
      <c r="AQ18" s="22">
        <f>AN18*Тарифы!$B$32</f>
        <v>4372.6499999999996</v>
      </c>
      <c r="AR18" s="22">
        <f>AK18*(Тарифы!$B$25+MAX(0,J18-5)*Тарифы!$B$26)</f>
        <v>30800</v>
      </c>
      <c r="AS18" s="22">
        <f>AK18*Тарифы!$B$27</f>
        <v>9625</v>
      </c>
      <c r="AT18" s="22">
        <f>BP18*J18*$C$48*'Затраты продавца'!$B$5</f>
        <v>3732.48</v>
      </c>
      <c r="AU18" s="22">
        <f>AK18*('Затраты продавца'!$B$6+'Затраты продавца'!$B$7)</f>
        <v>26950</v>
      </c>
      <c r="AV18" s="22">
        <f>AK18*Тарифы!$B$24</f>
        <v>3850</v>
      </c>
      <c r="AW18" s="22">
        <f>AL18*((Тарифы!$B$25+MAX(0,J18-5)*Тарифы!$B$26)*Тарифы!$B$28+'Затраты продавца'!$B$9+(1-'Затраты продавца'!$B$10)*I18*$C$55)</f>
        <v>3504</v>
      </c>
      <c r="AX18" s="22">
        <f>AJ18*Тарифы!$B$29</f>
        <v>6450</v>
      </c>
      <c r="AY18" s="23">
        <f t="shared" si="22"/>
        <v>0.49896000000000001</v>
      </c>
      <c r="AZ18" s="117">
        <f t="shared" si="23"/>
        <v>410</v>
      </c>
      <c r="BA18" s="117">
        <f t="shared" si="24"/>
        <v>428</v>
      </c>
      <c r="BB18" s="22">
        <f t="shared" si="25"/>
        <v>323900</v>
      </c>
      <c r="BC18" s="22">
        <f t="shared" si="26"/>
        <v>106600</v>
      </c>
      <c r="BD18" s="22">
        <f t="shared" si="27"/>
        <v>48585</v>
      </c>
      <c r="BE18" s="22">
        <f t="shared" si="28"/>
        <v>4858.5</v>
      </c>
      <c r="BF18" s="22">
        <f t="shared" si="29"/>
        <v>34240</v>
      </c>
      <c r="BG18" s="22">
        <f t="shared" si="30"/>
        <v>10700</v>
      </c>
      <c r="BH18" s="22">
        <f t="shared" si="31"/>
        <v>11197.44</v>
      </c>
      <c r="BI18" s="22">
        <f t="shared" si="32"/>
        <v>1386.72</v>
      </c>
      <c r="BJ18" s="22">
        <f t="shared" si="33"/>
        <v>0</v>
      </c>
      <c r="BK18" s="22">
        <f t="shared" si="34"/>
        <v>0</v>
      </c>
      <c r="BL18" s="22">
        <f t="shared" si="35"/>
        <v>1440</v>
      </c>
      <c r="BM18" s="22">
        <f t="shared" si="36"/>
        <v>0</v>
      </c>
      <c r="BN18" s="24">
        <f>Y18*I18*(1-'Затраты продавца'!$B$10)*$C$55</f>
        <v>702.00000000000011</v>
      </c>
      <c r="BO18" s="118">
        <f t="shared" si="37"/>
        <v>640</v>
      </c>
      <c r="BP18" s="118">
        <f t="shared" si="38"/>
        <v>640</v>
      </c>
      <c r="BQ18" s="118">
        <f t="shared" si="39"/>
        <v>640</v>
      </c>
    </row>
    <row r="19" spans="1:69" ht="21" customHeight="1" x14ac:dyDescent="0.15">
      <c r="A19" s="3"/>
      <c r="B19" s="12" t="str">
        <f>HYPERLINK("#'SKU'!A16","SKU!16")</f>
        <v>SKU!16</v>
      </c>
      <c r="C19" s="12" t="str">
        <f>SKU!A16</f>
        <v>SM-0015</v>
      </c>
      <c r="D19" s="12" t="str">
        <f>SKU!B16</f>
        <v>Скакалка скоростная</v>
      </c>
      <c r="E19" s="12" t="str">
        <f>SKU!C16</f>
        <v>Аксессуары</v>
      </c>
      <c r="F19" s="12" t="str">
        <f>SKU!L16</f>
        <v>FBO</v>
      </c>
      <c r="G19" s="116">
        <f>SKU!K16*IF(SKU!L16="не представлен",$C$52,1)</f>
        <v>370</v>
      </c>
      <c r="H19" s="13">
        <f>SKU!D16</f>
        <v>490</v>
      </c>
      <c r="I19" s="13">
        <f>SKU!E16</f>
        <v>150</v>
      </c>
      <c r="J19" s="14">
        <f>SKU!I16</f>
        <v>0.96</v>
      </c>
      <c r="K19" s="15">
        <f>SKU!N16</f>
        <v>0.03</v>
      </c>
      <c r="L19" s="16">
        <f>IF(ISNUMBER(SKU!M16),SKU!M16,$C$53)</f>
        <v>79.627189847283404</v>
      </c>
      <c r="M19" s="15">
        <f t="shared" si="0"/>
        <v>0.18</v>
      </c>
      <c r="N19" s="15">
        <f t="shared" si="1"/>
        <v>0.17</v>
      </c>
      <c r="O19" s="17">
        <f t="shared" si="2"/>
        <v>35965.06</v>
      </c>
      <c r="P19" s="17">
        <f t="shared" si="3"/>
        <v>6871.2200000000012</v>
      </c>
      <c r="Q19" s="18" t="str">
        <f t="shared" si="4"/>
        <v>FBO</v>
      </c>
      <c r="R19" s="19" t="s">
        <v>112</v>
      </c>
      <c r="S19" s="18" t="str">
        <f t="shared" si="5"/>
        <v>FBO</v>
      </c>
      <c r="T19" s="17">
        <f t="shared" si="6"/>
        <v>35965.06</v>
      </c>
      <c r="U19" s="20">
        <f t="shared" si="7"/>
        <v>0</v>
      </c>
      <c r="V19" s="21">
        <f t="shared" si="8"/>
        <v>0</v>
      </c>
      <c r="W19" s="6"/>
      <c r="X19" s="117">
        <f t="shared" si="9"/>
        <v>382</v>
      </c>
      <c r="Y19" s="117">
        <f t="shared" si="10"/>
        <v>12</v>
      </c>
      <c r="Z19" s="22">
        <f t="shared" si="11"/>
        <v>181300</v>
      </c>
      <c r="AA19" s="22">
        <f t="shared" si="12"/>
        <v>55500</v>
      </c>
      <c r="AB19" s="22">
        <f t="shared" si="13"/>
        <v>32634</v>
      </c>
      <c r="AC19" s="22">
        <f>Z19*Тарифы!$B$32</f>
        <v>2719.5</v>
      </c>
      <c r="AD19" s="22">
        <f>X19*(Тарифы!$B$18+MAX(0,J19-5)*Тарифы!$B$19)</f>
        <v>30560</v>
      </c>
      <c r="AE19" s="22">
        <f>X19*Тарифы!$B$20</f>
        <v>9550</v>
      </c>
      <c r="AF19" s="22">
        <f>BO19*J19*$C$48*IF(E19="Крупногабарит",$C$68,Тарифы!$B$21)</f>
        <v>13141.439999999999</v>
      </c>
      <c r="AG19" s="22">
        <f>X19*J19*'Затраты продавца'!$B$12</f>
        <v>916.8</v>
      </c>
      <c r="AH19" s="22">
        <f>Y19*(Тарифы!$B$18+MAX(0,J19-5)*Тарифы!$B$19)*Тарифы!$B$22</f>
        <v>960</v>
      </c>
      <c r="AI19" s="117">
        <f t="shared" si="14"/>
        <v>382</v>
      </c>
      <c r="AJ19" s="117">
        <f t="shared" si="15"/>
        <v>39</v>
      </c>
      <c r="AK19" s="117">
        <f t="shared" si="16"/>
        <v>343</v>
      </c>
      <c r="AL19" s="117">
        <f t="shared" si="17"/>
        <v>11</v>
      </c>
      <c r="AM19" s="117">
        <f t="shared" si="18"/>
        <v>332</v>
      </c>
      <c r="AN19" s="22">
        <f t="shared" si="19"/>
        <v>162680</v>
      </c>
      <c r="AO19" s="22">
        <f t="shared" si="20"/>
        <v>49800</v>
      </c>
      <c r="AP19" s="22">
        <f t="shared" si="21"/>
        <v>27655.600000000002</v>
      </c>
      <c r="AQ19" s="22">
        <f>AN19*Тарифы!$B$32</f>
        <v>2440.1999999999998</v>
      </c>
      <c r="AR19" s="22">
        <f>AK19*(Тарифы!$B$25+MAX(0,J19-5)*Тарифы!$B$26)</f>
        <v>27440</v>
      </c>
      <c r="AS19" s="22">
        <f>AK19*Тарифы!$B$27</f>
        <v>8575</v>
      </c>
      <c r="AT19" s="22">
        <f>BP19*J19*$C$48*'Затраты продавца'!$B$5</f>
        <v>4380.4799999999996</v>
      </c>
      <c r="AU19" s="22">
        <f>AK19*('Затраты продавца'!$B$6+'Затраты продавца'!$B$7)</f>
        <v>24010</v>
      </c>
      <c r="AV19" s="22">
        <f>AK19*Тарифы!$B$24</f>
        <v>3430</v>
      </c>
      <c r="AW19" s="22">
        <f>AL19*((Тарифы!$B$25+MAX(0,J19-5)*Тарифы!$B$26)*Тарифы!$B$28+'Затраты продавца'!$B$9+(1-'Затраты продавца'!$B$10)*I19*$C$55)</f>
        <v>2227.5</v>
      </c>
      <c r="AX19" s="22">
        <f>AJ19*Тарифы!$B$29</f>
        <v>5850</v>
      </c>
      <c r="AY19" s="23">
        <f t="shared" si="22"/>
        <v>0.32927999999999996</v>
      </c>
      <c r="AZ19" s="117">
        <f t="shared" si="23"/>
        <v>370</v>
      </c>
      <c r="BA19" s="117">
        <f t="shared" si="24"/>
        <v>382</v>
      </c>
      <c r="BB19" s="22">
        <f t="shared" si="25"/>
        <v>181300</v>
      </c>
      <c r="BC19" s="22">
        <f t="shared" si="26"/>
        <v>55500</v>
      </c>
      <c r="BD19" s="22">
        <f t="shared" si="27"/>
        <v>32634</v>
      </c>
      <c r="BE19" s="22">
        <f t="shared" si="28"/>
        <v>2719.5</v>
      </c>
      <c r="BF19" s="22">
        <f t="shared" si="29"/>
        <v>30560</v>
      </c>
      <c r="BG19" s="22">
        <f t="shared" si="30"/>
        <v>9550</v>
      </c>
      <c r="BH19" s="22">
        <f t="shared" si="31"/>
        <v>13141.439999999999</v>
      </c>
      <c r="BI19" s="22">
        <f t="shared" si="32"/>
        <v>916.8</v>
      </c>
      <c r="BJ19" s="22">
        <f t="shared" si="33"/>
        <v>0</v>
      </c>
      <c r="BK19" s="22">
        <f t="shared" si="34"/>
        <v>0</v>
      </c>
      <c r="BL19" s="22">
        <f t="shared" si="35"/>
        <v>960</v>
      </c>
      <c r="BM19" s="22">
        <f t="shared" si="36"/>
        <v>0</v>
      </c>
      <c r="BN19" s="24">
        <f>Y19*I19*(1-'Затраты продавца'!$B$10)*$C$55</f>
        <v>270.00000000000006</v>
      </c>
      <c r="BO19" s="118">
        <f t="shared" si="37"/>
        <v>1014</v>
      </c>
      <c r="BP19" s="118">
        <f t="shared" si="38"/>
        <v>1014</v>
      </c>
      <c r="BQ19" s="118">
        <f t="shared" si="39"/>
        <v>1014</v>
      </c>
    </row>
    <row r="20" spans="1:69" ht="21" customHeight="1" x14ac:dyDescent="0.15">
      <c r="A20" s="3"/>
      <c r="B20" s="12" t="str">
        <f>HYPERLINK("#'SKU'!A17","SKU!17")</f>
        <v>SKU!17</v>
      </c>
      <c r="C20" s="12" t="str">
        <f>SKU!A17</f>
        <v>SM-0016</v>
      </c>
      <c r="D20" s="12" t="str">
        <f>SKU!B17</f>
        <v>Палатка 2-местная</v>
      </c>
      <c r="E20" s="12" t="str">
        <f>SKU!C17</f>
        <v>Туризм</v>
      </c>
      <c r="F20" s="12" t="str">
        <f>SKU!L17</f>
        <v>FBO</v>
      </c>
      <c r="G20" s="116">
        <f>SKU!K17*IF(SKU!L17="не представлен",$C$52,1)</f>
        <v>45</v>
      </c>
      <c r="H20" s="13">
        <f>SKU!D17</f>
        <v>6990</v>
      </c>
      <c r="I20" s="13">
        <f>SKU!E17</f>
        <v>3200</v>
      </c>
      <c r="J20" s="14">
        <f>SKU!I17</f>
        <v>23.2</v>
      </c>
      <c r="K20" s="15">
        <f>SKU!N17</f>
        <v>0.06</v>
      </c>
      <c r="L20" s="16">
        <f>IF(ISNUMBER(SKU!M17),SKU!M17,$C$53)</f>
        <v>44.532530319726803</v>
      </c>
      <c r="M20" s="15">
        <f t="shared" si="0"/>
        <v>0.15</v>
      </c>
      <c r="N20" s="15">
        <f t="shared" si="1"/>
        <v>0.14000000000000001</v>
      </c>
      <c r="O20" s="17">
        <f t="shared" si="2"/>
        <v>80096.850000000006</v>
      </c>
      <c r="P20" s="17">
        <f t="shared" si="3"/>
        <v>81688.200000000012</v>
      </c>
      <c r="Q20" s="18" t="str">
        <f t="shared" si="4"/>
        <v>FBS</v>
      </c>
      <c r="R20" s="19" t="s">
        <v>112</v>
      </c>
      <c r="S20" s="18" t="str">
        <f t="shared" si="5"/>
        <v>FBS</v>
      </c>
      <c r="T20" s="17">
        <f t="shared" si="6"/>
        <v>81688.200000000012</v>
      </c>
      <c r="U20" s="20">
        <f t="shared" si="7"/>
        <v>43</v>
      </c>
      <c r="V20" s="21">
        <f t="shared" si="8"/>
        <v>0.99760000000000004</v>
      </c>
      <c r="W20" s="6"/>
      <c r="X20" s="117">
        <f t="shared" si="9"/>
        <v>48</v>
      </c>
      <c r="Y20" s="117">
        <f t="shared" si="10"/>
        <v>3</v>
      </c>
      <c r="Z20" s="22">
        <f t="shared" si="11"/>
        <v>314550</v>
      </c>
      <c r="AA20" s="22">
        <f t="shared" si="12"/>
        <v>144000</v>
      </c>
      <c r="AB20" s="22">
        <f t="shared" si="13"/>
        <v>47182.5</v>
      </c>
      <c r="AC20" s="22">
        <f>Z20*Тарифы!$B$32</f>
        <v>4718.25</v>
      </c>
      <c r="AD20" s="22">
        <f>X20*(Тарифы!$B$18+MAX(0,J20-5)*Тарифы!$B$19)</f>
        <v>12576</v>
      </c>
      <c r="AE20" s="22">
        <f>X20*Тарифы!$B$20</f>
        <v>1200</v>
      </c>
      <c r="AF20" s="22">
        <f>BO20*J20*$C$48*IF(E20="Крупногабарит",$C$68,Тарифы!$B$21)</f>
        <v>22550.399999999998</v>
      </c>
      <c r="AG20" s="22">
        <f>X20*J20*'Затраты продавца'!$B$12</f>
        <v>2784</v>
      </c>
      <c r="AH20" s="22">
        <f>Y20*(Тарифы!$B$18+MAX(0,J20-5)*Тарифы!$B$19)*Тарифы!$B$22</f>
        <v>786</v>
      </c>
      <c r="AI20" s="117">
        <f t="shared" si="14"/>
        <v>48</v>
      </c>
      <c r="AJ20" s="117">
        <f t="shared" si="15"/>
        <v>5</v>
      </c>
      <c r="AK20" s="117">
        <f t="shared" si="16"/>
        <v>43</v>
      </c>
      <c r="AL20" s="117">
        <f t="shared" si="17"/>
        <v>3</v>
      </c>
      <c r="AM20" s="117">
        <f t="shared" si="18"/>
        <v>40</v>
      </c>
      <c r="AN20" s="22">
        <f t="shared" si="19"/>
        <v>279600</v>
      </c>
      <c r="AO20" s="22">
        <f t="shared" si="20"/>
        <v>128000</v>
      </c>
      <c r="AP20" s="22">
        <f t="shared" si="21"/>
        <v>39144.000000000007</v>
      </c>
      <c r="AQ20" s="22">
        <f>AN20*Тарифы!$B$32</f>
        <v>4194</v>
      </c>
      <c r="AR20" s="22">
        <f>AK20*(Тарифы!$B$25+MAX(0,J20-5)*Тарифы!$B$26)</f>
        <v>11266</v>
      </c>
      <c r="AS20" s="22">
        <f>AK20*Тарифы!$B$27</f>
        <v>1075</v>
      </c>
      <c r="AT20" s="22">
        <f>BP20*J20*$C$48*'Затраты продавца'!$B$5</f>
        <v>7516.7999999999984</v>
      </c>
      <c r="AU20" s="22">
        <f>AK20*('Затраты продавца'!$B$6+'Затраты продавца'!$B$7)</f>
        <v>3010</v>
      </c>
      <c r="AV20" s="22">
        <f>AK20*Тарифы!$B$24</f>
        <v>430</v>
      </c>
      <c r="AW20" s="22">
        <f>AL20*((Тарифы!$B$25+MAX(0,J20-5)*Тарифы!$B$26)*Тарифы!$B$28+'Затраты продавца'!$B$9+(1-'Затраты продавца'!$B$10)*I20*$C$55)</f>
        <v>2526</v>
      </c>
      <c r="AX20" s="22">
        <f>AJ20*Тарифы!$B$29</f>
        <v>750</v>
      </c>
      <c r="AY20" s="23">
        <f t="shared" si="22"/>
        <v>0.99760000000000004</v>
      </c>
      <c r="AZ20" s="117">
        <f t="shared" si="23"/>
        <v>40</v>
      </c>
      <c r="BA20" s="117">
        <f t="shared" si="24"/>
        <v>43</v>
      </c>
      <c r="BB20" s="22">
        <f t="shared" si="25"/>
        <v>279600</v>
      </c>
      <c r="BC20" s="22">
        <f t="shared" si="26"/>
        <v>128000</v>
      </c>
      <c r="BD20" s="22">
        <f t="shared" si="27"/>
        <v>39144.000000000007</v>
      </c>
      <c r="BE20" s="22">
        <f t="shared" si="28"/>
        <v>4194</v>
      </c>
      <c r="BF20" s="22">
        <f t="shared" si="29"/>
        <v>11266</v>
      </c>
      <c r="BG20" s="22">
        <f t="shared" si="30"/>
        <v>1075</v>
      </c>
      <c r="BH20" s="22">
        <f t="shared" si="31"/>
        <v>7516.7999999999984</v>
      </c>
      <c r="BI20" s="22">
        <f t="shared" si="32"/>
        <v>0</v>
      </c>
      <c r="BJ20" s="22">
        <f t="shared" si="33"/>
        <v>3010</v>
      </c>
      <c r="BK20" s="22">
        <f t="shared" si="34"/>
        <v>430</v>
      </c>
      <c r="BL20" s="22">
        <f t="shared" si="35"/>
        <v>2526</v>
      </c>
      <c r="BM20" s="22">
        <f t="shared" si="36"/>
        <v>750</v>
      </c>
      <c r="BN20" s="24">
        <f>Y20*I20*(1-'Затраты продавца'!$B$10)*$C$55</f>
        <v>1440.0000000000002</v>
      </c>
      <c r="BO20" s="118">
        <f t="shared" si="37"/>
        <v>72</v>
      </c>
      <c r="BP20" s="118">
        <f t="shared" si="38"/>
        <v>72</v>
      </c>
      <c r="BQ20" s="118">
        <f t="shared" si="39"/>
        <v>72</v>
      </c>
    </row>
    <row r="21" spans="1:69" ht="21" customHeight="1" x14ac:dyDescent="0.15">
      <c r="A21" s="3"/>
      <c r="B21" s="12" t="str">
        <f>HYPERLINK("#'SKU'!A18","SKU!18")</f>
        <v>SKU!18</v>
      </c>
      <c r="C21" s="12" t="str">
        <f>SKU!A18</f>
        <v>SM-0017</v>
      </c>
      <c r="D21" s="12" t="str">
        <f>SKU!B18</f>
        <v>Палатка 4-местная</v>
      </c>
      <c r="E21" s="12" t="str">
        <f>SKU!C18</f>
        <v>Туризм</v>
      </c>
      <c r="F21" s="12" t="str">
        <f>SKU!L18</f>
        <v>FBO</v>
      </c>
      <c r="G21" s="116">
        <f>SKU!K18*IF(SKU!L18="не представлен",$C$52,1)</f>
        <v>22</v>
      </c>
      <c r="H21" s="13">
        <f>SKU!D18</f>
        <v>12990</v>
      </c>
      <c r="I21" s="13">
        <f>SKU!E18</f>
        <v>6100</v>
      </c>
      <c r="J21" s="14">
        <f>SKU!I18</f>
        <v>45.968000000000004</v>
      </c>
      <c r="K21" s="15">
        <f>SKU!N18</f>
        <v>7.0000000000000007E-2</v>
      </c>
      <c r="L21" s="16">
        <f>IF(ISNUMBER(SKU!M18),SKU!M18,$C$53)</f>
        <v>47.409610835220001</v>
      </c>
      <c r="M21" s="15">
        <f t="shared" si="0"/>
        <v>0.15</v>
      </c>
      <c r="N21" s="15">
        <f t="shared" si="1"/>
        <v>0.14000000000000001</v>
      </c>
      <c r="O21" s="17">
        <f t="shared" si="2"/>
        <v>65683.035999999978</v>
      </c>
      <c r="P21" s="17">
        <f t="shared" si="3"/>
        <v>68846.282000000007</v>
      </c>
      <c r="Q21" s="18" t="str">
        <f t="shared" si="4"/>
        <v>FBS</v>
      </c>
      <c r="R21" s="19" t="s">
        <v>112</v>
      </c>
      <c r="S21" s="18" t="str">
        <f t="shared" si="5"/>
        <v>FBS</v>
      </c>
      <c r="T21" s="17">
        <f t="shared" si="6"/>
        <v>68846.282000000007</v>
      </c>
      <c r="U21" s="20">
        <f t="shared" si="7"/>
        <v>21</v>
      </c>
      <c r="V21" s="21">
        <f t="shared" si="8"/>
        <v>0.96532800000000007</v>
      </c>
      <c r="W21" s="6"/>
      <c r="X21" s="117">
        <f t="shared" si="9"/>
        <v>24</v>
      </c>
      <c r="Y21" s="117">
        <f t="shared" si="10"/>
        <v>2</v>
      </c>
      <c r="Z21" s="22">
        <f t="shared" si="11"/>
        <v>285780</v>
      </c>
      <c r="AA21" s="22">
        <f t="shared" si="12"/>
        <v>134200</v>
      </c>
      <c r="AB21" s="22">
        <f t="shared" si="13"/>
        <v>42867</v>
      </c>
      <c r="AC21" s="22">
        <f>Z21*Тарифы!$B$32</f>
        <v>4286.7</v>
      </c>
      <c r="AD21" s="22">
        <f>X21*(Тарифы!$B$18+MAX(0,J21-5)*Тарифы!$B$19)</f>
        <v>11752.320000000002</v>
      </c>
      <c r="AE21" s="22">
        <f>X21*Тарифы!$B$20</f>
        <v>600</v>
      </c>
      <c r="AF21" s="22">
        <f>BO21*J21*$C$48*IF(E21="Крупногабарит",$C$68,Тарифы!$B$21)</f>
        <v>23581.584000000003</v>
      </c>
      <c r="AG21" s="22">
        <f>X21*J21*'Затраты продавца'!$B$12</f>
        <v>2758.08</v>
      </c>
      <c r="AH21" s="22">
        <f>Y21*(Тарифы!$B$18+MAX(0,J21-5)*Тарифы!$B$19)*Тарифы!$B$22</f>
        <v>979.36000000000013</v>
      </c>
      <c r="AI21" s="117">
        <f t="shared" si="14"/>
        <v>24</v>
      </c>
      <c r="AJ21" s="117">
        <f t="shared" si="15"/>
        <v>3</v>
      </c>
      <c r="AK21" s="117">
        <f t="shared" si="16"/>
        <v>21</v>
      </c>
      <c r="AL21" s="117">
        <f t="shared" si="17"/>
        <v>2</v>
      </c>
      <c r="AM21" s="117">
        <f t="shared" si="18"/>
        <v>19</v>
      </c>
      <c r="AN21" s="22">
        <f t="shared" si="19"/>
        <v>246810</v>
      </c>
      <c r="AO21" s="22">
        <f t="shared" si="20"/>
        <v>115900</v>
      </c>
      <c r="AP21" s="22">
        <f t="shared" si="21"/>
        <v>34553.4</v>
      </c>
      <c r="AQ21" s="22">
        <f>AN21*Тарифы!$B$32</f>
        <v>3702.1499999999996</v>
      </c>
      <c r="AR21" s="22">
        <f>AK21*(Тарифы!$B$25+MAX(0,J21-5)*Тарифы!$B$26)</f>
        <v>10283.280000000001</v>
      </c>
      <c r="AS21" s="22">
        <f>AK21*Тарифы!$B$27</f>
        <v>525</v>
      </c>
      <c r="AT21" s="22">
        <f>BP21*J21*$C$48*'Затраты продавца'!$B$5</f>
        <v>7860.5280000000002</v>
      </c>
      <c r="AU21" s="22">
        <f>AK21*('Затраты продавца'!$B$6+'Затраты продавца'!$B$7)</f>
        <v>1470</v>
      </c>
      <c r="AV21" s="22">
        <f>AK21*Тарифы!$B$24</f>
        <v>210</v>
      </c>
      <c r="AW21" s="22">
        <f>AL21*((Тарифы!$B$25+MAX(0,J21-5)*Тарифы!$B$26)*Тарифы!$B$28+'Затраты продавца'!$B$9+(1-'Затраты продавца'!$B$10)*I21*$C$55)</f>
        <v>3009.3600000000006</v>
      </c>
      <c r="AX21" s="22">
        <f>AJ21*Тарифы!$B$29</f>
        <v>450</v>
      </c>
      <c r="AY21" s="23">
        <f t="shared" si="22"/>
        <v>0.96532800000000007</v>
      </c>
      <c r="AZ21" s="117">
        <f t="shared" si="23"/>
        <v>19</v>
      </c>
      <c r="BA21" s="117">
        <f t="shared" si="24"/>
        <v>21</v>
      </c>
      <c r="BB21" s="22">
        <f t="shared" si="25"/>
        <v>246810</v>
      </c>
      <c r="BC21" s="22">
        <f t="shared" si="26"/>
        <v>115900</v>
      </c>
      <c r="BD21" s="22">
        <f t="shared" si="27"/>
        <v>34553.4</v>
      </c>
      <c r="BE21" s="22">
        <f t="shared" si="28"/>
        <v>3702.1499999999996</v>
      </c>
      <c r="BF21" s="22">
        <f t="shared" si="29"/>
        <v>10283.280000000001</v>
      </c>
      <c r="BG21" s="22">
        <f t="shared" si="30"/>
        <v>525</v>
      </c>
      <c r="BH21" s="22">
        <f t="shared" si="31"/>
        <v>7860.5280000000002</v>
      </c>
      <c r="BI21" s="22">
        <f t="shared" si="32"/>
        <v>0</v>
      </c>
      <c r="BJ21" s="22">
        <f t="shared" si="33"/>
        <v>1470</v>
      </c>
      <c r="BK21" s="22">
        <f t="shared" si="34"/>
        <v>210</v>
      </c>
      <c r="BL21" s="22">
        <f t="shared" si="35"/>
        <v>3009.3600000000006</v>
      </c>
      <c r="BM21" s="22">
        <f t="shared" si="36"/>
        <v>450</v>
      </c>
      <c r="BN21" s="24">
        <f>Y21*I21*(1-'Затраты продавца'!$B$10)*$C$55</f>
        <v>1830.0000000000002</v>
      </c>
      <c r="BO21" s="118">
        <f t="shared" si="37"/>
        <v>38</v>
      </c>
      <c r="BP21" s="118">
        <f t="shared" si="38"/>
        <v>38</v>
      </c>
      <c r="BQ21" s="118">
        <f t="shared" si="39"/>
        <v>38</v>
      </c>
    </row>
    <row r="22" spans="1:69" ht="21" customHeight="1" x14ac:dyDescent="0.15">
      <c r="A22" s="3"/>
      <c r="B22" s="12" t="str">
        <f>HYPERLINK("#'SKU'!A19","SKU!19")</f>
        <v>SKU!19</v>
      </c>
      <c r="C22" s="12" t="str">
        <f>SKU!A19</f>
        <v>SM-0018</v>
      </c>
      <c r="D22" s="12" t="str">
        <f>SKU!B19</f>
        <v>Спальный мешок −5 °C</v>
      </c>
      <c r="E22" s="12" t="str">
        <f>SKU!C19</f>
        <v>Туризм</v>
      </c>
      <c r="F22" s="12" t="str">
        <f>SKU!L19</f>
        <v>FBO</v>
      </c>
      <c r="G22" s="116">
        <f>SKU!K19*IF(SKU!L19="не представлен",$C$52,1)</f>
        <v>70</v>
      </c>
      <c r="H22" s="13">
        <f>SKU!D19</f>
        <v>3490</v>
      </c>
      <c r="I22" s="13">
        <f>SKU!E19</f>
        <v>1480</v>
      </c>
      <c r="J22" s="14">
        <f>SKU!I19</f>
        <v>31.36</v>
      </c>
      <c r="K22" s="15">
        <f>SKU!N19</f>
        <v>0.06</v>
      </c>
      <c r="L22" s="16">
        <f>IF(ISNUMBER(SKU!M19),SKU!M19,$C$53)</f>
        <v>68.899771618358997</v>
      </c>
      <c r="M22" s="15">
        <f t="shared" si="0"/>
        <v>0.15</v>
      </c>
      <c r="N22" s="15">
        <f t="shared" si="1"/>
        <v>0.14000000000000001</v>
      </c>
      <c r="O22" s="25">
        <f t="shared" si="2"/>
        <v>-3323.7799999999988</v>
      </c>
      <c r="P22" s="17">
        <f t="shared" si="3"/>
        <v>32083.139999999985</v>
      </c>
      <c r="Q22" s="18" t="str">
        <f t="shared" si="4"/>
        <v>FBS</v>
      </c>
      <c r="R22" s="19" t="s">
        <v>112</v>
      </c>
      <c r="S22" s="18" t="str">
        <f t="shared" si="5"/>
        <v>FBS</v>
      </c>
      <c r="T22" s="17">
        <f t="shared" si="6"/>
        <v>32083.139999999985</v>
      </c>
      <c r="U22" s="20">
        <f t="shared" si="7"/>
        <v>67</v>
      </c>
      <c r="V22" s="21">
        <f t="shared" si="8"/>
        <v>2.1011199999999999</v>
      </c>
      <c r="W22" s="6"/>
      <c r="X22" s="117">
        <f t="shared" si="9"/>
        <v>75</v>
      </c>
      <c r="Y22" s="117">
        <f t="shared" si="10"/>
        <v>5</v>
      </c>
      <c r="Z22" s="22">
        <f t="shared" si="11"/>
        <v>244300</v>
      </c>
      <c r="AA22" s="22">
        <f t="shared" si="12"/>
        <v>103600</v>
      </c>
      <c r="AB22" s="22">
        <f t="shared" si="13"/>
        <v>36645</v>
      </c>
      <c r="AC22" s="22">
        <f>Z22*Тарифы!$B$32</f>
        <v>3664.5</v>
      </c>
      <c r="AD22" s="22">
        <f>X22*(Тарифы!$B$18+MAX(0,J22-5)*Тарифы!$B$19)</f>
        <v>25770</v>
      </c>
      <c r="AE22" s="22">
        <f>X22*Тарифы!$B$20</f>
        <v>1875</v>
      </c>
      <c r="AF22" s="22">
        <f>BO22*J22*$C$48*IF(E22="Крупногабарит",$C$68,Тарифы!$B$21)</f>
        <v>73241.279999999999</v>
      </c>
      <c r="AG22" s="22">
        <f>X22*J22*'Затраты продавца'!$B$12</f>
        <v>5880</v>
      </c>
      <c r="AH22" s="22">
        <f>Y22*(Тарифы!$B$18+MAX(0,J22-5)*Тарифы!$B$19)*Тарифы!$B$22</f>
        <v>1718</v>
      </c>
      <c r="AI22" s="117">
        <f t="shared" si="14"/>
        <v>75</v>
      </c>
      <c r="AJ22" s="117">
        <f t="shared" si="15"/>
        <v>8</v>
      </c>
      <c r="AK22" s="117">
        <f t="shared" si="16"/>
        <v>67</v>
      </c>
      <c r="AL22" s="117">
        <f t="shared" si="17"/>
        <v>5</v>
      </c>
      <c r="AM22" s="117">
        <f t="shared" si="18"/>
        <v>62</v>
      </c>
      <c r="AN22" s="22">
        <f t="shared" si="19"/>
        <v>216380</v>
      </c>
      <c r="AO22" s="22">
        <f t="shared" si="20"/>
        <v>91760</v>
      </c>
      <c r="AP22" s="22">
        <f t="shared" si="21"/>
        <v>30293.200000000004</v>
      </c>
      <c r="AQ22" s="22">
        <f>AN22*Тарифы!$B$32</f>
        <v>3245.7</v>
      </c>
      <c r="AR22" s="22">
        <f>AK22*(Тарифы!$B$25+MAX(0,J22-5)*Тарифы!$B$26)</f>
        <v>23021.200000000001</v>
      </c>
      <c r="AS22" s="22">
        <f>AK22*Тарифы!$B$27</f>
        <v>1675</v>
      </c>
      <c r="AT22" s="22">
        <f>BP22*J22*$C$48*'Затраты продавца'!$B$5</f>
        <v>24413.759999999998</v>
      </c>
      <c r="AU22" s="22">
        <f>AK22*('Затраты продавца'!$B$6+'Затраты продавца'!$B$7)</f>
        <v>4690</v>
      </c>
      <c r="AV22" s="22">
        <f>AK22*Тарифы!$B$24</f>
        <v>670</v>
      </c>
      <c r="AW22" s="22">
        <f>AL22*((Тарифы!$B$25+MAX(0,J22-5)*Тарифы!$B$26)*Тарифы!$B$28+'Затраты продавца'!$B$9+(1-'Затраты продавца'!$B$10)*I22*$C$55)</f>
        <v>3328</v>
      </c>
      <c r="AX22" s="22">
        <f>AJ22*Тарифы!$B$29</f>
        <v>1200</v>
      </c>
      <c r="AY22" s="23">
        <f t="shared" si="22"/>
        <v>2.1011199999999999</v>
      </c>
      <c r="AZ22" s="117">
        <f t="shared" si="23"/>
        <v>62</v>
      </c>
      <c r="BA22" s="117">
        <f t="shared" si="24"/>
        <v>67</v>
      </c>
      <c r="BB22" s="22">
        <f t="shared" si="25"/>
        <v>216380</v>
      </c>
      <c r="BC22" s="22">
        <f t="shared" si="26"/>
        <v>91760</v>
      </c>
      <c r="BD22" s="22">
        <f t="shared" si="27"/>
        <v>30293.200000000004</v>
      </c>
      <c r="BE22" s="22">
        <f t="shared" si="28"/>
        <v>3245.7</v>
      </c>
      <c r="BF22" s="22">
        <f t="shared" si="29"/>
        <v>23021.200000000001</v>
      </c>
      <c r="BG22" s="22">
        <f t="shared" si="30"/>
        <v>1675</v>
      </c>
      <c r="BH22" s="22">
        <f t="shared" si="31"/>
        <v>24413.759999999998</v>
      </c>
      <c r="BI22" s="22">
        <f t="shared" si="32"/>
        <v>0</v>
      </c>
      <c r="BJ22" s="22">
        <f t="shared" si="33"/>
        <v>4690</v>
      </c>
      <c r="BK22" s="22">
        <f t="shared" si="34"/>
        <v>670</v>
      </c>
      <c r="BL22" s="22">
        <f t="shared" si="35"/>
        <v>3328</v>
      </c>
      <c r="BM22" s="22">
        <f t="shared" si="36"/>
        <v>1200</v>
      </c>
      <c r="BN22" s="24">
        <f>Y22*I22*(1-'Затраты продавца'!$B$10)*$C$55</f>
        <v>1110.0000000000002</v>
      </c>
      <c r="BO22" s="118">
        <f t="shared" si="37"/>
        <v>173</v>
      </c>
      <c r="BP22" s="118">
        <f t="shared" si="38"/>
        <v>173</v>
      </c>
      <c r="BQ22" s="118">
        <f t="shared" si="39"/>
        <v>173</v>
      </c>
    </row>
    <row r="23" spans="1:69" ht="21" customHeight="1" x14ac:dyDescent="0.15">
      <c r="A23" s="3"/>
      <c r="B23" s="12" t="str">
        <f>HYPERLINK("#'SKU'!A20","SKU!20")</f>
        <v>SKU!20</v>
      </c>
      <c r="C23" s="12" t="str">
        <f>SKU!A20</f>
        <v>SM-0019</v>
      </c>
      <c r="D23" s="12" t="str">
        <f>SKU!B20</f>
        <v>Рюкзак туристический 60 л</v>
      </c>
      <c r="E23" s="12" t="str">
        <f>SKU!C20</f>
        <v>Туризм</v>
      </c>
      <c r="F23" s="12" t="str">
        <f>SKU!L20</f>
        <v>FBO</v>
      </c>
      <c r="G23" s="116">
        <f>SKU!K20*IF(SKU!L20="не представлен",$C$52,1)</f>
        <v>55</v>
      </c>
      <c r="H23" s="13">
        <f>SKU!D20</f>
        <v>5990</v>
      </c>
      <c r="I23" s="13">
        <f>SKU!E20</f>
        <v>2550</v>
      </c>
      <c r="J23" s="14">
        <f>SKU!I20</f>
        <v>56.875</v>
      </c>
      <c r="K23" s="15">
        <f>SKU!N20</f>
        <v>0.08</v>
      </c>
      <c r="L23" s="16">
        <f>IF(ISNUMBER(SKU!M20),SKU!M20,$C$53)</f>
        <v>78.989017878729797</v>
      </c>
      <c r="M23" s="15">
        <f t="shared" si="0"/>
        <v>0.15</v>
      </c>
      <c r="N23" s="15">
        <f t="shared" si="1"/>
        <v>0.14000000000000001</v>
      </c>
      <c r="O23" s="25">
        <f t="shared" si="2"/>
        <v>-28804.875</v>
      </c>
      <c r="P23" s="17">
        <f t="shared" si="3"/>
        <v>38319.075000000012</v>
      </c>
      <c r="Q23" s="18" t="str">
        <f t="shared" si="4"/>
        <v>FBS</v>
      </c>
      <c r="R23" s="19" t="s">
        <v>112</v>
      </c>
      <c r="S23" s="18" t="str">
        <f t="shared" si="5"/>
        <v>FBS</v>
      </c>
      <c r="T23" s="17">
        <f t="shared" si="6"/>
        <v>38319.075000000012</v>
      </c>
      <c r="U23" s="20">
        <f t="shared" si="7"/>
        <v>54</v>
      </c>
      <c r="V23" s="21">
        <f t="shared" si="8"/>
        <v>3.07125</v>
      </c>
      <c r="W23" s="6"/>
      <c r="X23" s="117">
        <f t="shared" si="9"/>
        <v>60</v>
      </c>
      <c r="Y23" s="117">
        <f t="shared" si="10"/>
        <v>5</v>
      </c>
      <c r="Z23" s="22">
        <f t="shared" si="11"/>
        <v>329450</v>
      </c>
      <c r="AA23" s="22">
        <f t="shared" si="12"/>
        <v>140250</v>
      </c>
      <c r="AB23" s="22">
        <f t="shared" si="13"/>
        <v>49417.5</v>
      </c>
      <c r="AC23" s="22">
        <f>Z23*Тарифы!$B$32</f>
        <v>4941.75</v>
      </c>
      <c r="AD23" s="22">
        <f>X23*(Тарифы!$B$18+MAX(0,J23-5)*Тарифы!$B$19)</f>
        <v>35925</v>
      </c>
      <c r="AE23" s="22">
        <f>X23*Тарифы!$B$20</f>
        <v>1500</v>
      </c>
      <c r="AF23" s="22">
        <f>BO23*J23*$C$48*IF(E23="Крупногабарит",$C$68,Тарифы!$B$21)</f>
        <v>121314.375</v>
      </c>
      <c r="AG23" s="22">
        <f>X23*J23*'Затраты продавца'!$B$12</f>
        <v>8531.25</v>
      </c>
      <c r="AH23" s="22">
        <f>Y23*(Тарифы!$B$18+MAX(0,J23-5)*Тарифы!$B$19)*Тарифы!$B$22</f>
        <v>2993.75</v>
      </c>
      <c r="AI23" s="117">
        <f t="shared" si="14"/>
        <v>60</v>
      </c>
      <c r="AJ23" s="117">
        <f t="shared" si="15"/>
        <v>6</v>
      </c>
      <c r="AK23" s="117">
        <f t="shared" si="16"/>
        <v>54</v>
      </c>
      <c r="AL23" s="117">
        <f t="shared" si="17"/>
        <v>5</v>
      </c>
      <c r="AM23" s="117">
        <f t="shared" si="18"/>
        <v>49</v>
      </c>
      <c r="AN23" s="22">
        <f t="shared" si="19"/>
        <v>293510</v>
      </c>
      <c r="AO23" s="22">
        <f t="shared" si="20"/>
        <v>124950</v>
      </c>
      <c r="AP23" s="22">
        <f t="shared" si="21"/>
        <v>41091.4</v>
      </c>
      <c r="AQ23" s="22">
        <f>AN23*Тарифы!$B$32</f>
        <v>4402.6499999999996</v>
      </c>
      <c r="AR23" s="22">
        <f>AK23*(Тарифы!$B$25+MAX(0,J23-5)*Тарифы!$B$26)</f>
        <v>32332.5</v>
      </c>
      <c r="AS23" s="22">
        <f>AK23*Тарифы!$B$27</f>
        <v>1350</v>
      </c>
      <c r="AT23" s="22">
        <f>BP23*J23*$C$48*'Затраты продавца'!$B$5</f>
        <v>40438.125</v>
      </c>
      <c r="AU23" s="22">
        <f>AK23*('Затраты продавца'!$B$6+'Затраты продавца'!$B$7)</f>
        <v>3780</v>
      </c>
      <c r="AV23" s="22">
        <f>AK23*Тарифы!$B$24</f>
        <v>540</v>
      </c>
      <c r="AW23" s="22">
        <f>AL23*((Тарифы!$B$25+MAX(0,J23-5)*Тарифы!$B$26)*Тарифы!$B$28+'Затраты продавца'!$B$9+(1-'Затраты продавца'!$B$10)*I23*$C$55)</f>
        <v>5406.25</v>
      </c>
      <c r="AX23" s="22">
        <f>AJ23*Тарифы!$B$29</f>
        <v>900</v>
      </c>
      <c r="AY23" s="23">
        <f t="shared" si="22"/>
        <v>3.07125</v>
      </c>
      <c r="AZ23" s="117">
        <f t="shared" si="23"/>
        <v>49</v>
      </c>
      <c r="BA23" s="117">
        <f t="shared" si="24"/>
        <v>54</v>
      </c>
      <c r="BB23" s="22">
        <f t="shared" si="25"/>
        <v>293510</v>
      </c>
      <c r="BC23" s="22">
        <f t="shared" si="26"/>
        <v>124950</v>
      </c>
      <c r="BD23" s="22">
        <f t="shared" si="27"/>
        <v>41091.4</v>
      </c>
      <c r="BE23" s="22">
        <f t="shared" si="28"/>
        <v>4402.6499999999996</v>
      </c>
      <c r="BF23" s="22">
        <f t="shared" si="29"/>
        <v>32332.5</v>
      </c>
      <c r="BG23" s="22">
        <f t="shared" si="30"/>
        <v>1350</v>
      </c>
      <c r="BH23" s="22">
        <f t="shared" si="31"/>
        <v>40438.125</v>
      </c>
      <c r="BI23" s="22">
        <f t="shared" si="32"/>
        <v>0</v>
      </c>
      <c r="BJ23" s="22">
        <f t="shared" si="33"/>
        <v>3780</v>
      </c>
      <c r="BK23" s="22">
        <f t="shared" si="34"/>
        <v>540</v>
      </c>
      <c r="BL23" s="22">
        <f t="shared" si="35"/>
        <v>5406.25</v>
      </c>
      <c r="BM23" s="22">
        <f t="shared" si="36"/>
        <v>900</v>
      </c>
      <c r="BN23" s="24">
        <f>Y23*I23*(1-'Затраты продавца'!$B$10)*$C$55</f>
        <v>1912.5000000000002</v>
      </c>
      <c r="BO23" s="118">
        <f t="shared" si="37"/>
        <v>158</v>
      </c>
      <c r="BP23" s="118">
        <f t="shared" si="38"/>
        <v>158</v>
      </c>
      <c r="BQ23" s="118">
        <f t="shared" si="39"/>
        <v>158</v>
      </c>
    </row>
    <row r="24" spans="1:69" ht="21" customHeight="1" x14ac:dyDescent="0.15">
      <c r="A24" s="3"/>
      <c r="B24" s="12" t="str">
        <f>HYPERLINK("#'SKU'!A21","SKU!21")</f>
        <v>SKU!21</v>
      </c>
      <c r="C24" s="12" t="str">
        <f>SKU!A21</f>
        <v>SM-0020</v>
      </c>
      <c r="D24" s="12" t="str">
        <f>SKU!B21</f>
        <v>Коврик туристический пенный</v>
      </c>
      <c r="E24" s="12" t="str">
        <f>SKU!C21</f>
        <v>Туризм</v>
      </c>
      <c r="F24" s="12" t="str">
        <f>SKU!L21</f>
        <v>FBO</v>
      </c>
      <c r="G24" s="116">
        <f>SKU!K21*IF(SKU!L21="не представлен",$C$52,1)</f>
        <v>90</v>
      </c>
      <c r="H24" s="13">
        <f>SKU!D21</f>
        <v>990</v>
      </c>
      <c r="I24" s="13">
        <f>SKU!E21</f>
        <v>370</v>
      </c>
      <c r="J24" s="14">
        <f>SKU!I21</f>
        <v>15.36</v>
      </c>
      <c r="K24" s="15">
        <f>SKU!N21</f>
        <v>0.03</v>
      </c>
      <c r="L24" s="16">
        <f>IF(ISNUMBER(SKU!M21),SKU!M21,$C$53)</f>
        <v>88.712522680790997</v>
      </c>
      <c r="M24" s="15">
        <f t="shared" si="0"/>
        <v>0.15</v>
      </c>
      <c r="N24" s="15">
        <f t="shared" si="1"/>
        <v>0.14000000000000001</v>
      </c>
      <c r="O24" s="25">
        <f t="shared" si="2"/>
        <v>-36249.960000000006</v>
      </c>
      <c r="P24" s="25">
        <f t="shared" si="3"/>
        <v>-8224.2200000000012</v>
      </c>
      <c r="Q24" s="18" t="str">
        <f t="shared" si="4"/>
        <v>Пауза</v>
      </c>
      <c r="R24" s="19" t="s">
        <v>112</v>
      </c>
      <c r="S24" s="18" t="str">
        <f t="shared" si="5"/>
        <v>Пауза</v>
      </c>
      <c r="T24" s="25">
        <f t="shared" si="6"/>
        <v>0</v>
      </c>
      <c r="U24" s="20">
        <f t="shared" si="7"/>
        <v>0</v>
      </c>
      <c r="V24" s="21">
        <f t="shared" si="8"/>
        <v>0</v>
      </c>
      <c r="W24" s="6"/>
      <c r="X24" s="117">
        <f t="shared" si="9"/>
        <v>93</v>
      </c>
      <c r="Y24" s="117">
        <f t="shared" si="10"/>
        <v>3</v>
      </c>
      <c r="Z24" s="22">
        <f t="shared" si="11"/>
        <v>89100</v>
      </c>
      <c r="AA24" s="22">
        <f t="shared" si="12"/>
        <v>33300</v>
      </c>
      <c r="AB24" s="22">
        <f t="shared" si="13"/>
        <v>13365</v>
      </c>
      <c r="AC24" s="22">
        <f>Z24*Тарифы!$B$32</f>
        <v>1336.5</v>
      </c>
      <c r="AD24" s="22">
        <f>X24*(Тарифы!$B$18+MAX(0,J24-5)*Тарифы!$B$19)</f>
        <v>17074.8</v>
      </c>
      <c r="AE24" s="22">
        <f>X24*Тарифы!$B$20</f>
        <v>2325</v>
      </c>
      <c r="AF24" s="22">
        <f>BO24*J24*$C$48*IF(E24="Крупногабарит",$C$68,Тарифы!$B$21)</f>
        <v>57231.359999999993</v>
      </c>
      <c r="AG24" s="22">
        <f>X24*J24*'Затраты продавца'!$B$12</f>
        <v>3571.2</v>
      </c>
      <c r="AH24" s="22">
        <f>Y24*(Тарифы!$B$18+MAX(0,J24-5)*Тарифы!$B$19)*Тарифы!$B$22</f>
        <v>550.79999999999995</v>
      </c>
      <c r="AI24" s="117">
        <f t="shared" si="14"/>
        <v>93</v>
      </c>
      <c r="AJ24" s="117">
        <f t="shared" si="15"/>
        <v>10</v>
      </c>
      <c r="AK24" s="117">
        <f t="shared" si="16"/>
        <v>83</v>
      </c>
      <c r="AL24" s="117">
        <f t="shared" si="17"/>
        <v>3</v>
      </c>
      <c r="AM24" s="117">
        <f t="shared" si="18"/>
        <v>80</v>
      </c>
      <c r="AN24" s="22">
        <f t="shared" si="19"/>
        <v>79200</v>
      </c>
      <c r="AO24" s="22">
        <f t="shared" si="20"/>
        <v>29600</v>
      </c>
      <c r="AP24" s="22">
        <f t="shared" si="21"/>
        <v>11088.000000000002</v>
      </c>
      <c r="AQ24" s="22">
        <f>AN24*Тарифы!$B$32</f>
        <v>1188</v>
      </c>
      <c r="AR24" s="22">
        <f>AK24*(Тарифы!$B$25+MAX(0,J24-5)*Тарифы!$B$26)</f>
        <v>15238.8</v>
      </c>
      <c r="AS24" s="22">
        <f>AK24*Тарифы!$B$27</f>
        <v>2075</v>
      </c>
      <c r="AT24" s="22">
        <f>BP24*J24*$C$48*'Затраты продавца'!$B$5</f>
        <v>19077.12</v>
      </c>
      <c r="AU24" s="22">
        <f>AK24*('Затраты продавца'!$B$6+'Затраты продавца'!$B$7)</f>
        <v>5810</v>
      </c>
      <c r="AV24" s="22">
        <f>AK24*Тарифы!$B$24</f>
        <v>830</v>
      </c>
      <c r="AW24" s="22">
        <f>AL24*((Тарифы!$B$25+MAX(0,J24-5)*Тарифы!$B$26)*Тарифы!$B$28+'Затраты продавца'!$B$9+(1-'Затраты продавца'!$B$10)*I24*$C$55)</f>
        <v>1017.3000000000001</v>
      </c>
      <c r="AX24" s="22">
        <f>AJ24*Тарифы!$B$29</f>
        <v>1500</v>
      </c>
      <c r="AY24" s="23">
        <f t="shared" si="22"/>
        <v>1.2748799999999998</v>
      </c>
      <c r="AZ24" s="117">
        <f t="shared" si="23"/>
        <v>0</v>
      </c>
      <c r="BA24" s="117">
        <f t="shared" si="24"/>
        <v>0</v>
      </c>
      <c r="BB24" s="22">
        <f t="shared" si="25"/>
        <v>0</v>
      </c>
      <c r="BC24" s="22">
        <f t="shared" si="26"/>
        <v>0</v>
      </c>
      <c r="BD24" s="22">
        <f t="shared" si="27"/>
        <v>0</v>
      </c>
      <c r="BE24" s="22">
        <f t="shared" si="28"/>
        <v>0</v>
      </c>
      <c r="BF24" s="22">
        <f t="shared" si="29"/>
        <v>0</v>
      </c>
      <c r="BG24" s="22">
        <f t="shared" si="30"/>
        <v>0</v>
      </c>
      <c r="BH24" s="22">
        <f t="shared" si="31"/>
        <v>0</v>
      </c>
      <c r="BI24" s="22">
        <f t="shared" si="32"/>
        <v>0</v>
      </c>
      <c r="BJ24" s="22">
        <f t="shared" si="33"/>
        <v>0</v>
      </c>
      <c r="BK24" s="22">
        <f t="shared" si="34"/>
        <v>0</v>
      </c>
      <c r="BL24" s="22">
        <f t="shared" si="35"/>
        <v>0</v>
      </c>
      <c r="BM24" s="22">
        <f t="shared" si="36"/>
        <v>0</v>
      </c>
      <c r="BN24" s="24">
        <f>Y24*I24*(1-'Затраты продавца'!$B$10)*$C$55</f>
        <v>166.50000000000003</v>
      </c>
      <c r="BO24" s="118">
        <f t="shared" si="37"/>
        <v>276</v>
      </c>
      <c r="BP24" s="118">
        <f t="shared" si="38"/>
        <v>276</v>
      </c>
      <c r="BQ24" s="118">
        <f t="shared" si="39"/>
        <v>0</v>
      </c>
    </row>
    <row r="25" spans="1:69" ht="21" customHeight="1" x14ac:dyDescent="0.15">
      <c r="A25" s="3"/>
      <c r="B25" s="12" t="str">
        <f>HYPERLINK("#'SKU'!A22","SKU!22")</f>
        <v>SKU!22</v>
      </c>
      <c r="C25" s="12" t="str">
        <f>SKU!A22</f>
        <v>SM-0021</v>
      </c>
      <c r="D25" s="12" t="str">
        <f>SKU!B22</f>
        <v>Велотренажёр магнитный</v>
      </c>
      <c r="E25" s="12" t="str">
        <f>SKU!C22</f>
        <v>Крупногабарит</v>
      </c>
      <c r="F25" s="12" t="str">
        <f>SKU!L22</f>
        <v>не представлен</v>
      </c>
      <c r="G25" s="116">
        <f>SKU!K22*IF(SKU!L22="не представлен",$C$52,1)</f>
        <v>25</v>
      </c>
      <c r="H25" s="13">
        <f>SKU!D22</f>
        <v>24990</v>
      </c>
      <c r="I25" s="13">
        <f>SKU!E22</f>
        <v>14200</v>
      </c>
      <c r="J25" s="14">
        <f>SKU!I22</f>
        <v>138</v>
      </c>
      <c r="K25" s="15">
        <f>SKU!N22</f>
        <v>0.05</v>
      </c>
      <c r="L25" s="16">
        <f>IF(ISNUMBER(SKU!M22),SKU!M22,$C$53)</f>
        <v>75.361847430061744</v>
      </c>
      <c r="M25" s="15">
        <f t="shared" si="0"/>
        <v>0.12</v>
      </c>
      <c r="N25" s="15">
        <f t="shared" si="1"/>
        <v>0.11</v>
      </c>
      <c r="O25" s="25">
        <f t="shared" si="2"/>
        <v>-1176.2500000000009</v>
      </c>
      <c r="P25" s="17">
        <f t="shared" si="3"/>
        <v>82339.5</v>
      </c>
      <c r="Q25" s="18" t="str">
        <f t="shared" si="4"/>
        <v>FBS</v>
      </c>
      <c r="R25" s="19" t="s">
        <v>112</v>
      </c>
      <c r="S25" s="18" t="str">
        <f t="shared" si="5"/>
        <v>FBS</v>
      </c>
      <c r="T25" s="17">
        <f t="shared" si="6"/>
        <v>82339.5</v>
      </c>
      <c r="U25" s="20">
        <f t="shared" si="7"/>
        <v>24</v>
      </c>
      <c r="V25" s="21">
        <f t="shared" si="8"/>
        <v>3.3119999999999998</v>
      </c>
      <c r="W25" s="6"/>
      <c r="X25" s="117">
        <f t="shared" si="9"/>
        <v>27</v>
      </c>
      <c r="Y25" s="117">
        <f t="shared" si="10"/>
        <v>2</v>
      </c>
      <c r="Z25" s="22">
        <f t="shared" si="11"/>
        <v>624750</v>
      </c>
      <c r="AA25" s="22">
        <f t="shared" si="12"/>
        <v>355000</v>
      </c>
      <c r="AB25" s="22">
        <f t="shared" si="13"/>
        <v>74970</v>
      </c>
      <c r="AC25" s="22">
        <f>Z25*Тарифы!$B$32</f>
        <v>9371.25</v>
      </c>
      <c r="AD25" s="22">
        <f>X25*(Тарифы!$B$18+MAX(0,J25-5)*Тарифы!$B$19)</f>
        <v>38070</v>
      </c>
      <c r="AE25" s="22">
        <f>X25*Тарифы!$B$20</f>
        <v>675</v>
      </c>
      <c r="AF25" s="22">
        <f>BO25*J25*$C$48*IF(E25="Крупногабарит",$C$68,Тарифы!$B$21)</f>
        <v>140760</v>
      </c>
      <c r="AG25" s="22">
        <f>X25*J25*'Затраты продавца'!$B$12</f>
        <v>9315</v>
      </c>
      <c r="AH25" s="22">
        <f>Y25*(Тарифы!$B$18+MAX(0,J25-5)*Тарифы!$B$19)*Тарифы!$B$22</f>
        <v>2820</v>
      </c>
      <c r="AI25" s="117">
        <f t="shared" si="14"/>
        <v>27</v>
      </c>
      <c r="AJ25" s="117">
        <f t="shared" si="15"/>
        <v>3</v>
      </c>
      <c r="AK25" s="117">
        <f t="shared" si="16"/>
        <v>24</v>
      </c>
      <c r="AL25" s="117">
        <f t="shared" si="17"/>
        <v>2</v>
      </c>
      <c r="AM25" s="117">
        <f t="shared" si="18"/>
        <v>22</v>
      </c>
      <c r="AN25" s="22">
        <f t="shared" si="19"/>
        <v>549780</v>
      </c>
      <c r="AO25" s="22">
        <f t="shared" si="20"/>
        <v>312400</v>
      </c>
      <c r="AP25" s="22">
        <f t="shared" si="21"/>
        <v>60475.8</v>
      </c>
      <c r="AQ25" s="22">
        <f>AN25*Тарифы!$B$32</f>
        <v>8246.6999999999989</v>
      </c>
      <c r="AR25" s="22">
        <f>AK25*(Тарифы!$B$25+MAX(0,J25-5)*Тарифы!$B$26)</f>
        <v>33840</v>
      </c>
      <c r="AS25" s="22">
        <f>AK25*Тарифы!$B$27</f>
        <v>600</v>
      </c>
      <c r="AT25" s="22">
        <f>BP25*J25*$C$48*'Затраты продавца'!$B$5</f>
        <v>42228</v>
      </c>
      <c r="AU25" s="22">
        <f>AK25*('Затраты продавца'!$B$6+'Затраты продавца'!$B$7)</f>
        <v>1680</v>
      </c>
      <c r="AV25" s="22">
        <f>AK25*Тарифы!$B$24</f>
        <v>240</v>
      </c>
      <c r="AW25" s="22">
        <f>AL25*((Тарифы!$B$25+MAX(0,J25-5)*Тарифы!$B$26)*Тарифы!$B$28+'Затраты продавца'!$B$9+(1-'Затраты продавца'!$B$10)*I25*$C$55)</f>
        <v>7280.0000000000009</v>
      </c>
      <c r="AX25" s="22">
        <f>AJ25*Тарифы!$B$29</f>
        <v>450</v>
      </c>
      <c r="AY25" s="23">
        <f t="shared" si="22"/>
        <v>3.3119999999999998</v>
      </c>
      <c r="AZ25" s="117">
        <f t="shared" si="23"/>
        <v>22</v>
      </c>
      <c r="BA25" s="117">
        <f t="shared" si="24"/>
        <v>24</v>
      </c>
      <c r="BB25" s="22">
        <f t="shared" si="25"/>
        <v>549780</v>
      </c>
      <c r="BC25" s="22">
        <f t="shared" si="26"/>
        <v>312400</v>
      </c>
      <c r="BD25" s="22">
        <f t="shared" si="27"/>
        <v>60475.8</v>
      </c>
      <c r="BE25" s="22">
        <f t="shared" si="28"/>
        <v>8246.6999999999989</v>
      </c>
      <c r="BF25" s="22">
        <f t="shared" si="29"/>
        <v>33840</v>
      </c>
      <c r="BG25" s="22">
        <f t="shared" si="30"/>
        <v>600</v>
      </c>
      <c r="BH25" s="22">
        <f t="shared" si="31"/>
        <v>42228</v>
      </c>
      <c r="BI25" s="22">
        <f t="shared" si="32"/>
        <v>0</v>
      </c>
      <c r="BJ25" s="22">
        <f t="shared" si="33"/>
        <v>1680</v>
      </c>
      <c r="BK25" s="22">
        <f t="shared" si="34"/>
        <v>240</v>
      </c>
      <c r="BL25" s="22">
        <f t="shared" si="35"/>
        <v>7280.0000000000009</v>
      </c>
      <c r="BM25" s="22">
        <f t="shared" si="36"/>
        <v>450</v>
      </c>
      <c r="BN25" s="24">
        <f>Y25*I25*(1-'Затраты продавца'!$B$10)*$C$55</f>
        <v>4260.0000000000009</v>
      </c>
      <c r="BO25" s="118">
        <f t="shared" si="37"/>
        <v>68</v>
      </c>
      <c r="BP25" s="118">
        <f t="shared" si="38"/>
        <v>68</v>
      </c>
      <c r="BQ25" s="118">
        <f t="shared" si="39"/>
        <v>68</v>
      </c>
    </row>
    <row r="26" spans="1:69" ht="21" customHeight="1" x14ac:dyDescent="0.15">
      <c r="A26" s="3"/>
      <c r="B26" s="12" t="str">
        <f>HYPERLINK("#'SKU'!A23","SKU!23")</f>
        <v>SKU!23</v>
      </c>
      <c r="C26" s="12" t="str">
        <f>SKU!A23</f>
        <v>SM-0022</v>
      </c>
      <c r="D26" s="12" t="str">
        <f>SKU!B23</f>
        <v>Беговая дорожка складная</v>
      </c>
      <c r="E26" s="12" t="str">
        <f>SKU!C23</f>
        <v>Крупногабарит</v>
      </c>
      <c r="F26" s="12" t="str">
        <f>SKU!L23</f>
        <v>не представлен</v>
      </c>
      <c r="G26" s="116">
        <f>SKU!K23*IF(SKU!L23="не представлен",$C$52,1)</f>
        <v>12</v>
      </c>
      <c r="H26" s="13">
        <f>SKU!D23</f>
        <v>49990</v>
      </c>
      <c r="I26" s="13">
        <f>SKU!E23</f>
        <v>28900</v>
      </c>
      <c r="J26" s="14">
        <f>SKU!I23</f>
        <v>345.6</v>
      </c>
      <c r="K26" s="15">
        <f>SKU!N23</f>
        <v>0.05</v>
      </c>
      <c r="L26" s="16">
        <f>IF(ISNUMBER(SKU!M23),SKU!M23,$C$53)</f>
        <v>75.361847430061744</v>
      </c>
      <c r="M26" s="15">
        <f t="shared" si="0"/>
        <v>0.12</v>
      </c>
      <c r="N26" s="15">
        <f t="shared" si="1"/>
        <v>0.11</v>
      </c>
      <c r="O26" s="25">
        <f t="shared" si="2"/>
        <v>-52439.800000000047</v>
      </c>
      <c r="P26" s="17">
        <f t="shared" si="3"/>
        <v>49368.900000000023</v>
      </c>
      <c r="Q26" s="18" t="str">
        <f t="shared" si="4"/>
        <v>FBS</v>
      </c>
      <c r="R26" s="19" t="s">
        <v>112</v>
      </c>
      <c r="S26" s="18" t="str">
        <f t="shared" si="5"/>
        <v>FBS</v>
      </c>
      <c r="T26" s="17">
        <f t="shared" si="6"/>
        <v>49368.900000000023</v>
      </c>
      <c r="U26" s="20">
        <f t="shared" si="7"/>
        <v>11</v>
      </c>
      <c r="V26" s="21">
        <f t="shared" si="8"/>
        <v>3.8016000000000005</v>
      </c>
      <c r="W26" s="6"/>
      <c r="X26" s="117">
        <f t="shared" si="9"/>
        <v>13</v>
      </c>
      <c r="Y26" s="117">
        <f t="shared" si="10"/>
        <v>1</v>
      </c>
      <c r="Z26" s="22">
        <f t="shared" si="11"/>
        <v>599880</v>
      </c>
      <c r="AA26" s="22">
        <f t="shared" si="12"/>
        <v>346800</v>
      </c>
      <c r="AB26" s="22">
        <f t="shared" si="13"/>
        <v>71985.599999999991</v>
      </c>
      <c r="AC26" s="22">
        <f>Z26*Тарифы!$B$32</f>
        <v>8998.1999999999989</v>
      </c>
      <c r="AD26" s="22">
        <f>X26*(Тарифы!$B$18+MAX(0,J26-5)*Тарифы!$B$19)</f>
        <v>45318</v>
      </c>
      <c r="AE26" s="22">
        <f>X26*Тарифы!$B$20</f>
        <v>325</v>
      </c>
      <c r="AF26" s="22">
        <f>BO26*J26*$C$48*IF(E26="Крупногабарит",$C$68,Тарифы!$B$21)</f>
        <v>171072.00000000003</v>
      </c>
      <c r="AG26" s="22">
        <f>X26*J26*'Затраты продавца'!$B$12</f>
        <v>11232</v>
      </c>
      <c r="AH26" s="22">
        <f>Y26*(Тарифы!$B$18+MAX(0,J26-5)*Тарифы!$B$19)*Тарифы!$B$22</f>
        <v>3486</v>
      </c>
      <c r="AI26" s="117">
        <f t="shared" si="14"/>
        <v>13</v>
      </c>
      <c r="AJ26" s="117">
        <f t="shared" si="15"/>
        <v>2</v>
      </c>
      <c r="AK26" s="117">
        <f t="shared" si="16"/>
        <v>11</v>
      </c>
      <c r="AL26" s="117">
        <f t="shared" si="17"/>
        <v>1</v>
      </c>
      <c r="AM26" s="117">
        <f t="shared" si="18"/>
        <v>10</v>
      </c>
      <c r="AN26" s="22">
        <f t="shared" si="19"/>
        <v>499900</v>
      </c>
      <c r="AO26" s="22">
        <f t="shared" si="20"/>
        <v>289000</v>
      </c>
      <c r="AP26" s="22">
        <f t="shared" si="21"/>
        <v>54989</v>
      </c>
      <c r="AQ26" s="22">
        <f>AN26*Тарифы!$B$32</f>
        <v>7498.5</v>
      </c>
      <c r="AR26" s="22">
        <f>AK26*(Тарифы!$B$25+MAX(0,J26-5)*Тарифы!$B$26)</f>
        <v>38346</v>
      </c>
      <c r="AS26" s="22">
        <f>AK26*Тарифы!$B$27</f>
        <v>275</v>
      </c>
      <c r="AT26" s="22">
        <f>BP26*J26*$C$48*'Затраты продавца'!$B$5</f>
        <v>51321.600000000006</v>
      </c>
      <c r="AU26" s="22">
        <f>AK26*('Затраты продавца'!$B$6+'Затраты продавца'!$B$7)</f>
        <v>770</v>
      </c>
      <c r="AV26" s="22">
        <f>AK26*Тарифы!$B$24</f>
        <v>110</v>
      </c>
      <c r="AW26" s="22">
        <f>AL26*((Тарифы!$B$25+MAX(0,J26-5)*Тарифы!$B$26)*Тарифы!$B$28+'Затраты продавца'!$B$9+(1-'Затраты продавца'!$B$10)*I26*$C$55)</f>
        <v>7921.0000000000009</v>
      </c>
      <c r="AX26" s="22">
        <f>AJ26*Тарифы!$B$29</f>
        <v>300</v>
      </c>
      <c r="AY26" s="23">
        <f t="shared" si="22"/>
        <v>3.8016000000000005</v>
      </c>
      <c r="AZ26" s="117">
        <f t="shared" si="23"/>
        <v>10</v>
      </c>
      <c r="BA26" s="117">
        <f t="shared" si="24"/>
        <v>11</v>
      </c>
      <c r="BB26" s="22">
        <f t="shared" si="25"/>
        <v>499900</v>
      </c>
      <c r="BC26" s="22">
        <f t="shared" si="26"/>
        <v>289000</v>
      </c>
      <c r="BD26" s="22">
        <f t="shared" si="27"/>
        <v>54989</v>
      </c>
      <c r="BE26" s="22">
        <f t="shared" si="28"/>
        <v>7498.5</v>
      </c>
      <c r="BF26" s="22">
        <f t="shared" si="29"/>
        <v>38346</v>
      </c>
      <c r="BG26" s="22">
        <f t="shared" si="30"/>
        <v>275</v>
      </c>
      <c r="BH26" s="22">
        <f t="shared" si="31"/>
        <v>51321.600000000006</v>
      </c>
      <c r="BI26" s="22">
        <f t="shared" si="32"/>
        <v>0</v>
      </c>
      <c r="BJ26" s="22">
        <f t="shared" si="33"/>
        <v>770</v>
      </c>
      <c r="BK26" s="22">
        <f t="shared" si="34"/>
        <v>110</v>
      </c>
      <c r="BL26" s="22">
        <f t="shared" si="35"/>
        <v>7921.0000000000009</v>
      </c>
      <c r="BM26" s="22">
        <f t="shared" si="36"/>
        <v>300</v>
      </c>
      <c r="BN26" s="24">
        <f>Y26*I26*(1-'Затраты продавца'!$B$10)*$C$55</f>
        <v>4335.0000000000009</v>
      </c>
      <c r="BO26" s="118">
        <f t="shared" si="37"/>
        <v>33</v>
      </c>
      <c r="BP26" s="118">
        <f t="shared" si="38"/>
        <v>33</v>
      </c>
      <c r="BQ26" s="118">
        <f t="shared" si="39"/>
        <v>33</v>
      </c>
    </row>
    <row r="27" spans="1:69" ht="21" customHeight="1" x14ac:dyDescent="0.15">
      <c r="A27" s="3"/>
      <c r="B27" s="12" t="str">
        <f>HYPERLINK("#'SKU'!A24","SKU!24")</f>
        <v>SKU!24</v>
      </c>
      <c r="C27" s="12" t="str">
        <f>SKU!A24</f>
        <v>SM-0023</v>
      </c>
      <c r="D27" s="12" t="str">
        <f>SKU!B24</f>
        <v>Батут каркасный 305 см</v>
      </c>
      <c r="E27" s="12" t="str">
        <f>SKU!C24</f>
        <v>Крупногабарит</v>
      </c>
      <c r="F27" s="12" t="str">
        <f>SKU!L24</f>
        <v>не представлен</v>
      </c>
      <c r="G27" s="116">
        <f>SKU!K24*IF(SKU!L24="не представлен",$C$52,1)</f>
        <v>15</v>
      </c>
      <c r="H27" s="13">
        <f>SKU!D24</f>
        <v>18990</v>
      </c>
      <c r="I27" s="13">
        <f>SKU!E24</f>
        <v>10400</v>
      </c>
      <c r="J27" s="14">
        <f>SKU!I24</f>
        <v>228</v>
      </c>
      <c r="K27" s="15">
        <f>SKU!N24</f>
        <v>0.04</v>
      </c>
      <c r="L27" s="16">
        <f>IF(ISNUMBER(SKU!M24),SKU!M24,$C$53)</f>
        <v>75.361847430061744</v>
      </c>
      <c r="M27" s="15">
        <f t="shared" si="0"/>
        <v>0.12</v>
      </c>
      <c r="N27" s="15">
        <f t="shared" si="1"/>
        <v>0.11</v>
      </c>
      <c r="O27" s="25">
        <f t="shared" si="2"/>
        <v>-91054.75</v>
      </c>
      <c r="P27" s="17">
        <f t="shared" si="3"/>
        <v>665.25</v>
      </c>
      <c r="Q27" s="18" t="str">
        <f t="shared" si="4"/>
        <v>FBS</v>
      </c>
      <c r="R27" s="19" t="s">
        <v>112</v>
      </c>
      <c r="S27" s="18" t="str">
        <f t="shared" si="5"/>
        <v>FBS</v>
      </c>
      <c r="T27" s="17">
        <f t="shared" si="6"/>
        <v>665.25</v>
      </c>
      <c r="U27" s="20">
        <f t="shared" si="7"/>
        <v>14</v>
      </c>
      <c r="V27" s="21">
        <f t="shared" si="8"/>
        <v>3.1920000000000002</v>
      </c>
      <c r="W27" s="6"/>
      <c r="X27" s="117">
        <f t="shared" si="9"/>
        <v>16</v>
      </c>
      <c r="Y27" s="117">
        <f t="shared" si="10"/>
        <v>1</v>
      </c>
      <c r="Z27" s="22">
        <f t="shared" si="11"/>
        <v>284850</v>
      </c>
      <c r="AA27" s="22">
        <f t="shared" si="12"/>
        <v>156000</v>
      </c>
      <c r="AB27" s="22">
        <f t="shared" si="13"/>
        <v>34182</v>
      </c>
      <c r="AC27" s="22">
        <f>Z27*Тарифы!$B$32</f>
        <v>4272.75</v>
      </c>
      <c r="AD27" s="22">
        <f>X27*(Тарифы!$B$18+MAX(0,J27-5)*Тарифы!$B$19)</f>
        <v>36960</v>
      </c>
      <c r="AE27" s="22">
        <f>X27*Тарифы!$B$20</f>
        <v>400</v>
      </c>
      <c r="AF27" s="22">
        <f>BO27*J27*$C$48*IF(E27="Крупногабарит",$C$68,Тарифы!$B$21)</f>
        <v>140220</v>
      </c>
      <c r="AG27" s="22">
        <f>X27*J27*'Затраты продавца'!$B$12</f>
        <v>9120</v>
      </c>
      <c r="AH27" s="22">
        <f>Y27*(Тарифы!$B$18+MAX(0,J27-5)*Тарифы!$B$19)*Тарифы!$B$22</f>
        <v>2310</v>
      </c>
      <c r="AI27" s="117">
        <f t="shared" si="14"/>
        <v>16</v>
      </c>
      <c r="AJ27" s="117">
        <f t="shared" si="15"/>
        <v>2</v>
      </c>
      <c r="AK27" s="117">
        <f t="shared" si="16"/>
        <v>14</v>
      </c>
      <c r="AL27" s="117">
        <f t="shared" si="17"/>
        <v>1</v>
      </c>
      <c r="AM27" s="117">
        <f t="shared" si="18"/>
        <v>13</v>
      </c>
      <c r="AN27" s="22">
        <f t="shared" si="19"/>
        <v>246870</v>
      </c>
      <c r="AO27" s="22">
        <f t="shared" si="20"/>
        <v>135200</v>
      </c>
      <c r="AP27" s="22">
        <f t="shared" si="21"/>
        <v>27155.7</v>
      </c>
      <c r="AQ27" s="22">
        <f>AN27*Тарифы!$B$32</f>
        <v>3703.0499999999997</v>
      </c>
      <c r="AR27" s="22">
        <f>AK27*(Тарифы!$B$25+MAX(0,J27-5)*Тарифы!$B$26)</f>
        <v>32340</v>
      </c>
      <c r="AS27" s="22">
        <f>AK27*Тарифы!$B$27</f>
        <v>350</v>
      </c>
      <c r="AT27" s="22">
        <f>BP27*J27*$C$48*'Затраты продавца'!$B$5</f>
        <v>42066</v>
      </c>
      <c r="AU27" s="22">
        <f>AK27*('Затраты продавца'!$B$6+'Затраты продавца'!$B$7)</f>
        <v>980</v>
      </c>
      <c r="AV27" s="22">
        <f>AK27*Тарифы!$B$24</f>
        <v>140</v>
      </c>
      <c r="AW27" s="22">
        <f>AL27*((Тарифы!$B$25+MAX(0,J27-5)*Тарифы!$B$26)*Тарифы!$B$28+'Затраты продавца'!$B$9+(1-'Затраты продавца'!$B$10)*I27*$C$55)</f>
        <v>3970</v>
      </c>
      <c r="AX27" s="22">
        <f>AJ27*Тарифы!$B$29</f>
        <v>300</v>
      </c>
      <c r="AY27" s="23">
        <f t="shared" si="22"/>
        <v>3.1920000000000002</v>
      </c>
      <c r="AZ27" s="117">
        <f t="shared" si="23"/>
        <v>13</v>
      </c>
      <c r="BA27" s="117">
        <f t="shared" si="24"/>
        <v>14</v>
      </c>
      <c r="BB27" s="22">
        <f t="shared" si="25"/>
        <v>246870</v>
      </c>
      <c r="BC27" s="22">
        <f t="shared" si="26"/>
        <v>135200</v>
      </c>
      <c r="BD27" s="22">
        <f t="shared" si="27"/>
        <v>27155.7</v>
      </c>
      <c r="BE27" s="22">
        <f t="shared" si="28"/>
        <v>3703.0499999999997</v>
      </c>
      <c r="BF27" s="22">
        <f t="shared" si="29"/>
        <v>32340</v>
      </c>
      <c r="BG27" s="22">
        <f t="shared" si="30"/>
        <v>350</v>
      </c>
      <c r="BH27" s="22">
        <f t="shared" si="31"/>
        <v>42066</v>
      </c>
      <c r="BI27" s="22">
        <f t="shared" si="32"/>
        <v>0</v>
      </c>
      <c r="BJ27" s="22">
        <f t="shared" si="33"/>
        <v>980</v>
      </c>
      <c r="BK27" s="22">
        <f t="shared" si="34"/>
        <v>140</v>
      </c>
      <c r="BL27" s="22">
        <f t="shared" si="35"/>
        <v>3970</v>
      </c>
      <c r="BM27" s="22">
        <f t="shared" si="36"/>
        <v>300</v>
      </c>
      <c r="BN27" s="24">
        <f>Y27*I27*(1-'Затраты продавца'!$B$10)*$C$55</f>
        <v>1560.0000000000002</v>
      </c>
      <c r="BO27" s="118">
        <f t="shared" si="37"/>
        <v>41</v>
      </c>
      <c r="BP27" s="118">
        <f t="shared" si="38"/>
        <v>41</v>
      </c>
      <c r="BQ27" s="118">
        <f t="shared" si="39"/>
        <v>41</v>
      </c>
    </row>
    <row r="28" spans="1:69" ht="21" customHeight="1" x14ac:dyDescent="0.15">
      <c r="A28" s="3"/>
      <c r="B28" s="12" t="str">
        <f>HYPERLINK("#'SKU'!A25","SKU!25")</f>
        <v>SKU!25</v>
      </c>
      <c r="C28" s="12" t="str">
        <f>SKU!A25</f>
        <v>SM-0024</v>
      </c>
      <c r="D28" s="12" t="str">
        <f>SKU!B25</f>
        <v>SUP-доска надувная</v>
      </c>
      <c r="E28" s="12" t="str">
        <f>SKU!C25</f>
        <v>Крупногабарит</v>
      </c>
      <c r="F28" s="12" t="str">
        <f>SKU!L25</f>
        <v>не представлен</v>
      </c>
      <c r="G28" s="116">
        <f>SKU!K25*IF(SKU!L25="не представлен",$C$52,1)</f>
        <v>20</v>
      </c>
      <c r="H28" s="13">
        <f>SKU!D25</f>
        <v>21990</v>
      </c>
      <c r="I28" s="13">
        <f>SKU!E25</f>
        <v>11900</v>
      </c>
      <c r="J28" s="14">
        <f>SKU!I25</f>
        <v>128.25</v>
      </c>
      <c r="K28" s="15">
        <f>SKU!N25</f>
        <v>0.06</v>
      </c>
      <c r="L28" s="16">
        <f>IF(ISNUMBER(SKU!M25),SKU!M25,$C$53)</f>
        <v>75.361847430061744</v>
      </c>
      <c r="M28" s="15">
        <f t="shared" si="0"/>
        <v>0.12</v>
      </c>
      <c r="N28" s="15">
        <f t="shared" si="1"/>
        <v>0.11</v>
      </c>
      <c r="O28" s="17">
        <f t="shared" si="2"/>
        <v>-923.00000000000045</v>
      </c>
      <c r="P28" s="17">
        <f t="shared" si="3"/>
        <v>58704.75</v>
      </c>
      <c r="Q28" s="18" t="str">
        <f t="shared" si="4"/>
        <v>FBS</v>
      </c>
      <c r="R28" s="19" t="s">
        <v>112</v>
      </c>
      <c r="S28" s="18" t="str">
        <f t="shared" si="5"/>
        <v>FBS</v>
      </c>
      <c r="T28" s="17">
        <f t="shared" si="6"/>
        <v>58704.75</v>
      </c>
      <c r="U28" s="20">
        <f t="shared" si="7"/>
        <v>19</v>
      </c>
      <c r="V28" s="21">
        <f t="shared" si="8"/>
        <v>2.43675</v>
      </c>
      <c r="W28" s="6"/>
      <c r="X28" s="117">
        <f t="shared" si="9"/>
        <v>22</v>
      </c>
      <c r="Y28" s="117">
        <f t="shared" si="10"/>
        <v>2</v>
      </c>
      <c r="Z28" s="22">
        <f t="shared" si="11"/>
        <v>439800</v>
      </c>
      <c r="AA28" s="22">
        <f t="shared" si="12"/>
        <v>238000</v>
      </c>
      <c r="AB28" s="22">
        <f t="shared" si="13"/>
        <v>52776</v>
      </c>
      <c r="AC28" s="22">
        <f>Z28*Тарифы!$B$32</f>
        <v>6597</v>
      </c>
      <c r="AD28" s="22">
        <f>X28*(Тарифы!$B$18+MAX(0,J28-5)*Тарифы!$B$19)</f>
        <v>28875</v>
      </c>
      <c r="AE28" s="22">
        <f>X28*Тарифы!$B$20</f>
        <v>550</v>
      </c>
      <c r="AF28" s="22">
        <f>BO28*J28*$C$48*IF(E28="Крупногабарит",$C$68,Тарифы!$B$21)</f>
        <v>107730</v>
      </c>
      <c r="AG28" s="22">
        <f>X28*J28*'Затраты продавца'!$B$12</f>
        <v>7053.75</v>
      </c>
      <c r="AH28" s="22">
        <f>Y28*(Тарифы!$B$18+MAX(0,J28-5)*Тарифы!$B$19)*Тарифы!$B$22</f>
        <v>2625</v>
      </c>
      <c r="AI28" s="117">
        <f t="shared" si="14"/>
        <v>22</v>
      </c>
      <c r="AJ28" s="117">
        <f t="shared" si="15"/>
        <v>3</v>
      </c>
      <c r="AK28" s="117">
        <f t="shared" si="16"/>
        <v>19</v>
      </c>
      <c r="AL28" s="117">
        <f t="shared" si="17"/>
        <v>2</v>
      </c>
      <c r="AM28" s="117">
        <f t="shared" si="18"/>
        <v>17</v>
      </c>
      <c r="AN28" s="22">
        <f t="shared" si="19"/>
        <v>373830</v>
      </c>
      <c r="AO28" s="22">
        <f t="shared" si="20"/>
        <v>202300</v>
      </c>
      <c r="AP28" s="22">
        <f t="shared" si="21"/>
        <v>41121.300000000003</v>
      </c>
      <c r="AQ28" s="22">
        <f>AN28*Тарифы!$B$32</f>
        <v>5607.45</v>
      </c>
      <c r="AR28" s="22">
        <f>AK28*(Тарифы!$B$25+MAX(0,J28-5)*Тарифы!$B$26)</f>
        <v>24937.5</v>
      </c>
      <c r="AS28" s="22">
        <f>AK28*Тарифы!$B$27</f>
        <v>475</v>
      </c>
      <c r="AT28" s="22">
        <f>BP28*J28*$C$48*'Затраты продавца'!$B$5</f>
        <v>32319</v>
      </c>
      <c r="AU28" s="22">
        <f>AK28*('Затраты продавца'!$B$6+'Затраты продавца'!$B$7)</f>
        <v>1330</v>
      </c>
      <c r="AV28" s="22">
        <f>AK28*Тарифы!$B$24</f>
        <v>190</v>
      </c>
      <c r="AW28" s="22">
        <f>AL28*((Тарифы!$B$25+MAX(0,J28-5)*Тарифы!$B$26)*Тарифы!$B$28+'Затраты продавца'!$B$9+(1-'Затраты продавца'!$B$10)*I28*$C$55)</f>
        <v>6395</v>
      </c>
      <c r="AX28" s="22">
        <f>AJ28*Тарифы!$B$29</f>
        <v>450</v>
      </c>
      <c r="AY28" s="23">
        <f t="shared" si="22"/>
        <v>2.43675</v>
      </c>
      <c r="AZ28" s="117">
        <f t="shared" si="23"/>
        <v>17</v>
      </c>
      <c r="BA28" s="117">
        <f t="shared" si="24"/>
        <v>19</v>
      </c>
      <c r="BB28" s="22">
        <f t="shared" si="25"/>
        <v>373830</v>
      </c>
      <c r="BC28" s="22">
        <f t="shared" si="26"/>
        <v>202300</v>
      </c>
      <c r="BD28" s="22">
        <f t="shared" si="27"/>
        <v>41121.300000000003</v>
      </c>
      <c r="BE28" s="22">
        <f t="shared" si="28"/>
        <v>5607.45</v>
      </c>
      <c r="BF28" s="22">
        <f t="shared" si="29"/>
        <v>24937.5</v>
      </c>
      <c r="BG28" s="22">
        <f t="shared" si="30"/>
        <v>475</v>
      </c>
      <c r="BH28" s="22">
        <f t="shared" si="31"/>
        <v>32319</v>
      </c>
      <c r="BI28" s="22">
        <f t="shared" si="32"/>
        <v>0</v>
      </c>
      <c r="BJ28" s="22">
        <f t="shared" si="33"/>
        <v>1330</v>
      </c>
      <c r="BK28" s="22">
        <f t="shared" si="34"/>
        <v>190</v>
      </c>
      <c r="BL28" s="22">
        <f t="shared" si="35"/>
        <v>6395</v>
      </c>
      <c r="BM28" s="22">
        <f t="shared" si="36"/>
        <v>450</v>
      </c>
      <c r="BN28" s="24">
        <f>Y28*I28*(1-'Затраты продавца'!$B$10)*$C$55</f>
        <v>3570.0000000000005</v>
      </c>
      <c r="BO28" s="118">
        <f t="shared" si="37"/>
        <v>56</v>
      </c>
      <c r="BP28" s="118">
        <f t="shared" si="38"/>
        <v>56</v>
      </c>
      <c r="BQ28" s="118">
        <f t="shared" si="39"/>
        <v>56</v>
      </c>
    </row>
    <row r="29" spans="1:69" ht="21" customHeight="1" x14ac:dyDescent="0.15">
      <c r="A29" s="3"/>
      <c r="B29" s="12" t="str">
        <f>HYPERLINK("#'SKU'!A26","SKU!26")</f>
        <v>SKU!26</v>
      </c>
      <c r="C29" s="12" t="str">
        <f>SKU!A26</f>
        <v>SM-0025</v>
      </c>
      <c r="D29" s="12" t="str">
        <f>SKU!B26</f>
        <v>Каяк надувной 2-местный</v>
      </c>
      <c r="E29" s="12" t="str">
        <f>SKU!C26</f>
        <v>Крупногабарит</v>
      </c>
      <c r="F29" s="12" t="str">
        <f>SKU!L26</f>
        <v>не представлен</v>
      </c>
      <c r="G29" s="116">
        <f>SKU!K26*IF(SKU!L26="не представлен",$C$52,1)</f>
        <v>8</v>
      </c>
      <c r="H29" s="13">
        <f>SKU!D26</f>
        <v>34990</v>
      </c>
      <c r="I29" s="13">
        <f>SKU!E26</f>
        <v>19400</v>
      </c>
      <c r="J29" s="14">
        <f>SKU!I26</f>
        <v>182</v>
      </c>
      <c r="K29" s="15">
        <f>SKU!N26</f>
        <v>0.06</v>
      </c>
      <c r="L29" s="16">
        <f>IF(ISNUMBER(SKU!M26),SKU!M26,$C$53)</f>
        <v>75.361847430061744</v>
      </c>
      <c r="M29" s="15">
        <f t="shared" si="0"/>
        <v>0.12</v>
      </c>
      <c r="N29" s="15">
        <f t="shared" si="1"/>
        <v>0.11</v>
      </c>
      <c r="O29" s="17">
        <f t="shared" si="2"/>
        <v>2505.8000000000461</v>
      </c>
      <c r="P29" s="17">
        <f t="shared" si="3"/>
        <v>39026.75</v>
      </c>
      <c r="Q29" s="18" t="str">
        <f t="shared" si="4"/>
        <v>FBS</v>
      </c>
      <c r="R29" s="19" t="s">
        <v>112</v>
      </c>
      <c r="S29" s="18" t="str">
        <f t="shared" si="5"/>
        <v>FBS</v>
      </c>
      <c r="T29" s="17">
        <f t="shared" si="6"/>
        <v>39026.75</v>
      </c>
      <c r="U29" s="20">
        <f t="shared" si="7"/>
        <v>8</v>
      </c>
      <c r="V29" s="21">
        <f t="shared" si="8"/>
        <v>1.456</v>
      </c>
      <c r="W29" s="6"/>
      <c r="X29" s="117">
        <f t="shared" si="9"/>
        <v>9</v>
      </c>
      <c r="Y29" s="117">
        <f t="shared" si="10"/>
        <v>1</v>
      </c>
      <c r="Z29" s="22">
        <f t="shared" si="11"/>
        <v>279920</v>
      </c>
      <c r="AA29" s="22">
        <f t="shared" si="12"/>
        <v>155200</v>
      </c>
      <c r="AB29" s="22">
        <f t="shared" si="13"/>
        <v>33590.400000000001</v>
      </c>
      <c r="AC29" s="22">
        <f>Z29*Тарифы!$B$32</f>
        <v>4198.8</v>
      </c>
      <c r="AD29" s="22">
        <f>X29*(Тарифы!$B$18+MAX(0,J29-5)*Тарифы!$B$19)</f>
        <v>16650</v>
      </c>
      <c r="AE29" s="22">
        <f>X29*Тарифы!$B$20</f>
        <v>225</v>
      </c>
      <c r="AF29" s="22">
        <f>BO29*J29*$C$48*IF(E29="Крупногабарит",$C$68,Тарифы!$B$21)</f>
        <v>62790</v>
      </c>
      <c r="AG29" s="22">
        <f>X29*J29*'Затраты продавца'!$B$12</f>
        <v>4095</v>
      </c>
      <c r="AH29" s="22">
        <f>Y29*(Тарифы!$B$18+MAX(0,J29-5)*Тарифы!$B$19)*Тарифы!$B$22</f>
        <v>1850</v>
      </c>
      <c r="AI29" s="117">
        <f t="shared" si="14"/>
        <v>9</v>
      </c>
      <c r="AJ29" s="117">
        <f t="shared" si="15"/>
        <v>1</v>
      </c>
      <c r="AK29" s="117">
        <f t="shared" si="16"/>
        <v>8</v>
      </c>
      <c r="AL29" s="117">
        <f t="shared" si="17"/>
        <v>1</v>
      </c>
      <c r="AM29" s="117">
        <f t="shared" si="18"/>
        <v>7</v>
      </c>
      <c r="AN29" s="22">
        <f t="shared" si="19"/>
        <v>244930</v>
      </c>
      <c r="AO29" s="22">
        <f t="shared" si="20"/>
        <v>135800</v>
      </c>
      <c r="AP29" s="22">
        <f t="shared" si="21"/>
        <v>26942.3</v>
      </c>
      <c r="AQ29" s="22">
        <f>AN29*Тарифы!$B$32</f>
        <v>3673.95</v>
      </c>
      <c r="AR29" s="22">
        <f>AK29*(Тарифы!$B$25+MAX(0,J29-5)*Тарифы!$B$26)</f>
        <v>14800</v>
      </c>
      <c r="AS29" s="22">
        <f>AK29*Тарифы!$B$27</f>
        <v>200</v>
      </c>
      <c r="AT29" s="22">
        <f>BP29*J29*$C$48*'Затраты продавца'!$B$5</f>
        <v>18837</v>
      </c>
      <c r="AU29" s="22">
        <f>AK29*('Затраты продавца'!$B$6+'Затраты продавца'!$B$7)</f>
        <v>560</v>
      </c>
      <c r="AV29" s="22">
        <f>AK29*Тарифы!$B$24</f>
        <v>80</v>
      </c>
      <c r="AW29" s="22">
        <f>AL29*((Тарифы!$B$25+MAX(0,J29-5)*Тарифы!$B$26)*Тарифы!$B$28+'Затраты продавца'!$B$9+(1-'Затраты продавца'!$B$10)*I29*$C$55)</f>
        <v>4860</v>
      </c>
      <c r="AX29" s="22">
        <f>AJ29*Тарифы!$B$29</f>
        <v>150</v>
      </c>
      <c r="AY29" s="23">
        <f t="shared" si="22"/>
        <v>1.456</v>
      </c>
      <c r="AZ29" s="117">
        <f t="shared" si="23"/>
        <v>7</v>
      </c>
      <c r="BA29" s="117">
        <f t="shared" si="24"/>
        <v>8</v>
      </c>
      <c r="BB29" s="22">
        <f t="shared" si="25"/>
        <v>244930</v>
      </c>
      <c r="BC29" s="22">
        <f t="shared" si="26"/>
        <v>135800</v>
      </c>
      <c r="BD29" s="22">
        <f t="shared" si="27"/>
        <v>26942.3</v>
      </c>
      <c r="BE29" s="22">
        <f t="shared" si="28"/>
        <v>3673.95</v>
      </c>
      <c r="BF29" s="22">
        <f t="shared" si="29"/>
        <v>14800</v>
      </c>
      <c r="BG29" s="22">
        <f t="shared" si="30"/>
        <v>200</v>
      </c>
      <c r="BH29" s="22">
        <f t="shared" si="31"/>
        <v>18837</v>
      </c>
      <c r="BI29" s="22">
        <f t="shared" si="32"/>
        <v>0</v>
      </c>
      <c r="BJ29" s="22">
        <f t="shared" si="33"/>
        <v>560</v>
      </c>
      <c r="BK29" s="22">
        <f t="shared" si="34"/>
        <v>80</v>
      </c>
      <c r="BL29" s="22">
        <f t="shared" si="35"/>
        <v>4860</v>
      </c>
      <c r="BM29" s="22">
        <f t="shared" si="36"/>
        <v>150</v>
      </c>
      <c r="BN29" s="24">
        <f>Y29*I29*(1-'Затраты продавца'!$B$10)*$C$55</f>
        <v>2910.0000000000005</v>
      </c>
      <c r="BO29" s="118">
        <f t="shared" si="37"/>
        <v>23</v>
      </c>
      <c r="BP29" s="118">
        <f t="shared" si="38"/>
        <v>23</v>
      </c>
      <c r="BQ29" s="118">
        <f t="shared" si="39"/>
        <v>23</v>
      </c>
    </row>
    <row r="30" spans="1:69" ht="21" customHeight="1" x14ac:dyDescent="0.15">
      <c r="A30" s="3"/>
      <c r="B30" s="12" t="str">
        <f>HYPERLINK("#'SKU'!A27","SKU!27")</f>
        <v>SKU!27</v>
      </c>
      <c r="C30" s="12" t="str">
        <f>SKU!A27</f>
        <v>SM-0026</v>
      </c>
      <c r="D30" s="12" t="str">
        <f>SKU!B27</f>
        <v>Стол теннисный складной</v>
      </c>
      <c r="E30" s="12" t="str">
        <f>SKU!C27</f>
        <v>Крупногабарит</v>
      </c>
      <c r="F30" s="12" t="str">
        <f>SKU!L27</f>
        <v>не представлен</v>
      </c>
      <c r="G30" s="116">
        <f>SKU!K27*IF(SKU!L27="не представлен",$C$52,1)</f>
        <v>6</v>
      </c>
      <c r="H30" s="13">
        <f>SKU!D27</f>
        <v>54990</v>
      </c>
      <c r="I30" s="13">
        <f>SKU!E27</f>
        <v>31800</v>
      </c>
      <c r="J30" s="14">
        <f>SKU!I27</f>
        <v>272.64</v>
      </c>
      <c r="K30" s="15">
        <f>SKU!N27</f>
        <v>0.04</v>
      </c>
      <c r="L30" s="16">
        <f>IF(ISNUMBER(SKU!M27),SKU!M27,$C$53)</f>
        <v>75.361847430061744</v>
      </c>
      <c r="M30" s="15">
        <f t="shared" si="0"/>
        <v>0.12</v>
      </c>
      <c r="N30" s="15">
        <f t="shared" si="1"/>
        <v>0.11</v>
      </c>
      <c r="O30" s="17">
        <f t="shared" si="2"/>
        <v>-6010.9000000000005</v>
      </c>
      <c r="P30" s="17">
        <f t="shared" si="3"/>
        <v>34552.610000000015</v>
      </c>
      <c r="Q30" s="18" t="str">
        <f t="shared" si="4"/>
        <v>FBS</v>
      </c>
      <c r="R30" s="19" t="s">
        <v>112</v>
      </c>
      <c r="S30" s="18" t="str">
        <f t="shared" si="5"/>
        <v>FBS</v>
      </c>
      <c r="T30" s="17">
        <f t="shared" si="6"/>
        <v>34552.610000000015</v>
      </c>
      <c r="U30" s="20">
        <f t="shared" si="7"/>
        <v>6</v>
      </c>
      <c r="V30" s="21">
        <f t="shared" si="8"/>
        <v>1.63584</v>
      </c>
      <c r="W30" s="6"/>
      <c r="X30" s="117">
        <f t="shared" si="9"/>
        <v>7</v>
      </c>
      <c r="Y30" s="117">
        <f t="shared" si="10"/>
        <v>1</v>
      </c>
      <c r="Z30" s="22">
        <f t="shared" si="11"/>
        <v>329940</v>
      </c>
      <c r="AA30" s="22">
        <f t="shared" si="12"/>
        <v>190800</v>
      </c>
      <c r="AB30" s="22">
        <f t="shared" si="13"/>
        <v>39592.799999999996</v>
      </c>
      <c r="AC30" s="22">
        <f>Z30*Тарифы!$B$32</f>
        <v>4949.0999999999995</v>
      </c>
      <c r="AD30" s="22">
        <f>X30*(Тарифы!$B$18+MAX(0,J30-5)*Тарифы!$B$19)</f>
        <v>19294.799999999996</v>
      </c>
      <c r="AE30" s="22">
        <f>X30*Тарифы!$B$20</f>
        <v>175</v>
      </c>
      <c r="AF30" s="22">
        <f>BO30*J30*$C$48*IF(E30="Крупногабарит",$C$68,Тарифы!$B$21)</f>
        <v>73612.799999999988</v>
      </c>
      <c r="AG30" s="22">
        <f>X30*J30*'Затраты продавца'!$B$12</f>
        <v>4771.2</v>
      </c>
      <c r="AH30" s="22">
        <f>Y30*(Тарифы!$B$18+MAX(0,J30-5)*Тарифы!$B$19)*Тарифы!$B$22</f>
        <v>2756.3999999999996</v>
      </c>
      <c r="AI30" s="117">
        <f t="shared" si="14"/>
        <v>7</v>
      </c>
      <c r="AJ30" s="117">
        <f t="shared" si="15"/>
        <v>1</v>
      </c>
      <c r="AK30" s="117">
        <f t="shared" si="16"/>
        <v>6</v>
      </c>
      <c r="AL30" s="117">
        <f t="shared" si="17"/>
        <v>1</v>
      </c>
      <c r="AM30" s="117">
        <f t="shared" si="18"/>
        <v>5</v>
      </c>
      <c r="AN30" s="22">
        <f t="shared" si="19"/>
        <v>274950</v>
      </c>
      <c r="AO30" s="22">
        <f t="shared" si="20"/>
        <v>159000</v>
      </c>
      <c r="AP30" s="22">
        <f t="shared" si="21"/>
        <v>30244.5</v>
      </c>
      <c r="AQ30" s="22">
        <f>AN30*Тарифы!$B$32</f>
        <v>4124.25</v>
      </c>
      <c r="AR30" s="22">
        <f>AK30*(Тарифы!$B$25+MAX(0,J30-5)*Тарифы!$B$26)</f>
        <v>16538.399999999998</v>
      </c>
      <c r="AS30" s="22">
        <f>AK30*Тарифы!$B$27</f>
        <v>150</v>
      </c>
      <c r="AT30" s="22">
        <f>BP30*J30*$C$48*'Затраты продавца'!$B$5</f>
        <v>22083.839999999997</v>
      </c>
      <c r="AU30" s="22">
        <f>AK30*('Затраты продавца'!$B$6+'Затраты продавца'!$B$7)</f>
        <v>420</v>
      </c>
      <c r="AV30" s="22">
        <f>AK30*Тарифы!$B$24</f>
        <v>60</v>
      </c>
      <c r="AW30" s="22">
        <f>AL30*((Тарифы!$B$25+MAX(0,J30-5)*Тарифы!$B$26)*Тарифы!$B$28+'Затраты продавца'!$B$9+(1-'Затраты продавца'!$B$10)*I30*$C$55)</f>
        <v>7626.4000000000005</v>
      </c>
      <c r="AX30" s="22">
        <f>AJ30*Тарифы!$B$29</f>
        <v>150</v>
      </c>
      <c r="AY30" s="23">
        <f t="shared" si="22"/>
        <v>1.63584</v>
      </c>
      <c r="AZ30" s="117">
        <f t="shared" si="23"/>
        <v>5</v>
      </c>
      <c r="BA30" s="117">
        <f t="shared" si="24"/>
        <v>6</v>
      </c>
      <c r="BB30" s="22">
        <f t="shared" si="25"/>
        <v>274950</v>
      </c>
      <c r="BC30" s="22">
        <f t="shared" si="26"/>
        <v>159000</v>
      </c>
      <c r="BD30" s="22">
        <f t="shared" si="27"/>
        <v>30244.5</v>
      </c>
      <c r="BE30" s="22">
        <f t="shared" si="28"/>
        <v>4124.25</v>
      </c>
      <c r="BF30" s="22">
        <f t="shared" si="29"/>
        <v>16538.399999999998</v>
      </c>
      <c r="BG30" s="22">
        <f t="shared" si="30"/>
        <v>150</v>
      </c>
      <c r="BH30" s="22">
        <f t="shared" si="31"/>
        <v>22083.839999999997</v>
      </c>
      <c r="BI30" s="22">
        <f t="shared" si="32"/>
        <v>0</v>
      </c>
      <c r="BJ30" s="22">
        <f t="shared" si="33"/>
        <v>420</v>
      </c>
      <c r="BK30" s="22">
        <f t="shared" si="34"/>
        <v>60</v>
      </c>
      <c r="BL30" s="22">
        <f t="shared" si="35"/>
        <v>7626.4000000000005</v>
      </c>
      <c r="BM30" s="22">
        <f t="shared" si="36"/>
        <v>150</v>
      </c>
      <c r="BN30" s="24">
        <f>Y30*I30*(1-'Затраты продавца'!$B$10)*$C$55</f>
        <v>4770.0000000000009</v>
      </c>
      <c r="BO30" s="118">
        <f t="shared" si="37"/>
        <v>18</v>
      </c>
      <c r="BP30" s="118">
        <f t="shared" si="38"/>
        <v>18</v>
      </c>
      <c r="BQ30" s="118">
        <f t="shared" si="39"/>
        <v>18</v>
      </c>
    </row>
    <row r="31" spans="1:69" ht="21" customHeight="1" x14ac:dyDescent="0.15">
      <c r="A31" s="3"/>
      <c r="B31" s="12" t="str">
        <f>HYPERLINK("#'SKU'!A28","SKU!28")</f>
        <v>SKU!28</v>
      </c>
      <c r="C31" s="12" t="str">
        <f>SKU!A28</f>
        <v>SM-0027</v>
      </c>
      <c r="D31" s="12" t="str">
        <f>SKU!B28</f>
        <v>Шведская стенка деревянная</v>
      </c>
      <c r="E31" s="12" t="str">
        <f>SKU!C28</f>
        <v>Крупногабарит</v>
      </c>
      <c r="F31" s="12" t="str">
        <f>SKU!L28</f>
        <v>не представлен</v>
      </c>
      <c r="G31" s="116">
        <f>SKU!K28*IF(SKU!L28="не представлен",$C$52,1)</f>
        <v>10</v>
      </c>
      <c r="H31" s="13">
        <f>SKU!D28</f>
        <v>15990</v>
      </c>
      <c r="I31" s="13">
        <f>SKU!E28</f>
        <v>8700</v>
      </c>
      <c r="J31" s="14">
        <f>SKU!I28</f>
        <v>123.904</v>
      </c>
      <c r="K31" s="15">
        <f>SKU!N28</f>
        <v>0.05</v>
      </c>
      <c r="L31" s="16">
        <f>IF(ISNUMBER(SKU!M28),SKU!M28,$C$53)</f>
        <v>75.361847430061744</v>
      </c>
      <c r="M31" s="15">
        <f t="shared" si="0"/>
        <v>0.12</v>
      </c>
      <c r="N31" s="15">
        <f t="shared" si="1"/>
        <v>0.11</v>
      </c>
      <c r="O31" s="25">
        <f t="shared" si="2"/>
        <v>-17534.659999999996</v>
      </c>
      <c r="P31" s="17">
        <f t="shared" si="3"/>
        <v>11377.696000000011</v>
      </c>
      <c r="Q31" s="18" t="str">
        <f t="shared" si="4"/>
        <v>FBS</v>
      </c>
      <c r="R31" s="19" t="s">
        <v>112</v>
      </c>
      <c r="S31" s="18" t="str">
        <f t="shared" si="5"/>
        <v>FBS</v>
      </c>
      <c r="T31" s="17">
        <f t="shared" si="6"/>
        <v>11377.696000000011</v>
      </c>
      <c r="U31" s="20">
        <f t="shared" si="7"/>
        <v>9</v>
      </c>
      <c r="V31" s="21">
        <f t="shared" si="8"/>
        <v>1.1151359999999999</v>
      </c>
      <c r="W31" s="6"/>
      <c r="X31" s="117">
        <f t="shared" si="9"/>
        <v>11</v>
      </c>
      <c r="Y31" s="117">
        <f t="shared" si="10"/>
        <v>1</v>
      </c>
      <c r="Z31" s="22">
        <f t="shared" si="11"/>
        <v>159900</v>
      </c>
      <c r="AA31" s="22">
        <f t="shared" si="12"/>
        <v>87000</v>
      </c>
      <c r="AB31" s="22">
        <f t="shared" si="13"/>
        <v>19188</v>
      </c>
      <c r="AC31" s="22">
        <f>Z31*Тарифы!$B$32</f>
        <v>2398.5</v>
      </c>
      <c r="AD31" s="22">
        <f>X31*(Тарифы!$B$18+MAX(0,J31-5)*Тарифы!$B$19)</f>
        <v>13959.439999999999</v>
      </c>
      <c r="AE31" s="22">
        <f>X31*Тарифы!$B$20</f>
        <v>275</v>
      </c>
      <c r="AF31" s="22">
        <f>BO31*J31*$C$48*IF(E31="Крупногабарит",$C$68,Тарифы!$B$21)</f>
        <v>52039.68</v>
      </c>
      <c r="AG31" s="22">
        <f>X31*J31*'Затраты продавца'!$B$12</f>
        <v>3407.3599999999997</v>
      </c>
      <c r="AH31" s="22">
        <f>Y31*(Тарифы!$B$18+MAX(0,J31-5)*Тарифы!$B$19)*Тарифы!$B$22</f>
        <v>1269.04</v>
      </c>
      <c r="AI31" s="117">
        <f t="shared" si="14"/>
        <v>11</v>
      </c>
      <c r="AJ31" s="117">
        <f t="shared" si="15"/>
        <v>2</v>
      </c>
      <c r="AK31" s="117">
        <f t="shared" si="16"/>
        <v>9</v>
      </c>
      <c r="AL31" s="117">
        <f t="shared" si="17"/>
        <v>1</v>
      </c>
      <c r="AM31" s="117">
        <f t="shared" si="18"/>
        <v>8</v>
      </c>
      <c r="AN31" s="22">
        <f t="shared" si="19"/>
        <v>127920</v>
      </c>
      <c r="AO31" s="22">
        <f t="shared" si="20"/>
        <v>69600</v>
      </c>
      <c r="AP31" s="22">
        <f t="shared" si="21"/>
        <v>14071.2</v>
      </c>
      <c r="AQ31" s="22">
        <f>AN31*Тарифы!$B$32</f>
        <v>1918.8</v>
      </c>
      <c r="AR31" s="22">
        <f>AK31*(Тарифы!$B$25+MAX(0,J31-5)*Тарифы!$B$26)</f>
        <v>11421.36</v>
      </c>
      <c r="AS31" s="22">
        <f>AK31*Тарифы!$B$27</f>
        <v>225</v>
      </c>
      <c r="AT31" s="22">
        <f>BP31*J31*$C$48*'Затраты продавца'!$B$5</f>
        <v>15611.903999999999</v>
      </c>
      <c r="AU31" s="22">
        <f>AK31*('Затраты продавца'!$B$6+'Затраты продавца'!$B$7)</f>
        <v>630</v>
      </c>
      <c r="AV31" s="22">
        <f>AK31*Тарифы!$B$24</f>
        <v>90</v>
      </c>
      <c r="AW31" s="22">
        <f>AL31*((Тарифы!$B$25+MAX(0,J31-5)*Тарифы!$B$26)*Тарифы!$B$28+'Затраты продавца'!$B$9+(1-'Затраты продавца'!$B$10)*I31*$C$55)</f>
        <v>2674.04</v>
      </c>
      <c r="AX31" s="22">
        <f>AJ31*Тарифы!$B$29</f>
        <v>300</v>
      </c>
      <c r="AY31" s="23">
        <f t="shared" si="22"/>
        <v>1.1151359999999999</v>
      </c>
      <c r="AZ31" s="117">
        <f t="shared" si="23"/>
        <v>8</v>
      </c>
      <c r="BA31" s="117">
        <f t="shared" si="24"/>
        <v>9</v>
      </c>
      <c r="BB31" s="22">
        <f t="shared" si="25"/>
        <v>127920</v>
      </c>
      <c r="BC31" s="22">
        <f t="shared" si="26"/>
        <v>69600</v>
      </c>
      <c r="BD31" s="22">
        <f t="shared" si="27"/>
        <v>14071.2</v>
      </c>
      <c r="BE31" s="22">
        <f t="shared" si="28"/>
        <v>1918.8</v>
      </c>
      <c r="BF31" s="22">
        <f t="shared" si="29"/>
        <v>11421.36</v>
      </c>
      <c r="BG31" s="22">
        <f t="shared" si="30"/>
        <v>225</v>
      </c>
      <c r="BH31" s="22">
        <f t="shared" si="31"/>
        <v>15611.903999999999</v>
      </c>
      <c r="BI31" s="22">
        <f t="shared" si="32"/>
        <v>0</v>
      </c>
      <c r="BJ31" s="22">
        <f t="shared" si="33"/>
        <v>630</v>
      </c>
      <c r="BK31" s="22">
        <f t="shared" si="34"/>
        <v>90</v>
      </c>
      <c r="BL31" s="22">
        <f t="shared" si="35"/>
        <v>2674.04</v>
      </c>
      <c r="BM31" s="22">
        <f t="shared" si="36"/>
        <v>300</v>
      </c>
      <c r="BN31" s="24">
        <f>Y31*I31*(1-'Затраты продавца'!$B$10)*$C$55</f>
        <v>1305.0000000000002</v>
      </c>
      <c r="BO31" s="118">
        <f t="shared" si="37"/>
        <v>28</v>
      </c>
      <c r="BP31" s="118">
        <f t="shared" si="38"/>
        <v>28</v>
      </c>
      <c r="BQ31" s="118">
        <f t="shared" si="39"/>
        <v>28</v>
      </c>
    </row>
    <row r="32" spans="1:69" ht="21" customHeight="1" x14ac:dyDescent="0.15">
      <c r="A32" s="3"/>
      <c r="B32" s="12" t="str">
        <f>HYPERLINK("#'SKU'!A29","SKU!29")</f>
        <v>SKU!29</v>
      </c>
      <c r="C32" s="12" t="str">
        <f>SKU!A29</f>
        <v>SM-0028</v>
      </c>
      <c r="D32" s="12" t="str">
        <f>SKU!B29</f>
        <v>Ласты тренировочные</v>
      </c>
      <c r="E32" s="12" t="str">
        <f>SKU!C29</f>
        <v>Фитнес</v>
      </c>
      <c r="F32" s="12" t="str">
        <f>SKU!L29</f>
        <v>не представлен</v>
      </c>
      <c r="G32" s="116">
        <f>SKU!K29*IF(SKU!L29="не представлен",$C$52,1)</f>
        <v>25</v>
      </c>
      <c r="H32" s="13">
        <f>SKU!D29</f>
        <v>1990</v>
      </c>
      <c r="I32" s="13">
        <f>SKU!E29</f>
        <v>790</v>
      </c>
      <c r="J32" s="14">
        <f>SKU!I29</f>
        <v>8.4480000000000004</v>
      </c>
      <c r="K32" s="15">
        <f>SKU!N29</f>
        <v>7.0000000000000007E-2</v>
      </c>
      <c r="L32" s="16">
        <f>IF(ISNUMBER(SKU!M29),SKU!M29,$C$53)</f>
        <v>75.361847430061744</v>
      </c>
      <c r="M32" s="15">
        <f t="shared" si="0"/>
        <v>0.15</v>
      </c>
      <c r="N32" s="15">
        <f t="shared" si="1"/>
        <v>0.14000000000000001</v>
      </c>
      <c r="O32" s="17">
        <f t="shared" si="2"/>
        <v>9804.0659999999989</v>
      </c>
      <c r="P32" s="17">
        <f t="shared" si="3"/>
        <v>10645.531999999999</v>
      </c>
      <c r="Q32" s="18" t="str">
        <f t="shared" si="4"/>
        <v>FBS</v>
      </c>
      <c r="R32" s="19" t="s">
        <v>112</v>
      </c>
      <c r="S32" s="18" t="str">
        <f t="shared" si="5"/>
        <v>FBS</v>
      </c>
      <c r="T32" s="17">
        <f t="shared" si="6"/>
        <v>10645.531999999999</v>
      </c>
      <c r="U32" s="20">
        <f t="shared" si="7"/>
        <v>24</v>
      </c>
      <c r="V32" s="21">
        <f t="shared" si="8"/>
        <v>0.20275200000000002</v>
      </c>
      <c r="W32" s="6"/>
      <c r="X32" s="117">
        <f t="shared" si="9"/>
        <v>27</v>
      </c>
      <c r="Y32" s="117">
        <f t="shared" si="10"/>
        <v>2</v>
      </c>
      <c r="Z32" s="22">
        <f t="shared" si="11"/>
        <v>49750</v>
      </c>
      <c r="AA32" s="22">
        <f t="shared" si="12"/>
        <v>19750</v>
      </c>
      <c r="AB32" s="22">
        <f t="shared" si="13"/>
        <v>7462.5</v>
      </c>
      <c r="AC32" s="22">
        <f>Z32*Тарифы!$B$32</f>
        <v>746.25</v>
      </c>
      <c r="AD32" s="22">
        <f>X32*(Тарифы!$B$18+MAX(0,J32-5)*Тарифы!$B$19)</f>
        <v>3090.96</v>
      </c>
      <c r="AE32" s="22">
        <f>X32*Тарифы!$B$20</f>
        <v>675</v>
      </c>
      <c r="AF32" s="22">
        <f>BO32*J32*$C$48*IF(E32="Крупногабарит",$C$68,Тарифы!$B$21)</f>
        <v>7755.264000000001</v>
      </c>
      <c r="AG32" s="22">
        <f>X32*J32*'Затраты продавца'!$B$12</f>
        <v>570.24</v>
      </c>
      <c r="AH32" s="22">
        <f>Y32*(Тарифы!$B$18+MAX(0,J32-5)*Тарифы!$B$19)*Тарифы!$B$22</f>
        <v>228.96</v>
      </c>
      <c r="AI32" s="117">
        <f t="shared" si="14"/>
        <v>27</v>
      </c>
      <c r="AJ32" s="117">
        <f t="shared" si="15"/>
        <v>3</v>
      </c>
      <c r="AK32" s="117">
        <f t="shared" si="16"/>
        <v>24</v>
      </c>
      <c r="AL32" s="117">
        <f t="shared" si="17"/>
        <v>2</v>
      </c>
      <c r="AM32" s="117">
        <f t="shared" si="18"/>
        <v>22</v>
      </c>
      <c r="AN32" s="22">
        <f t="shared" si="19"/>
        <v>43780</v>
      </c>
      <c r="AO32" s="22">
        <f t="shared" si="20"/>
        <v>17380</v>
      </c>
      <c r="AP32" s="22">
        <f t="shared" si="21"/>
        <v>6129.2000000000007</v>
      </c>
      <c r="AQ32" s="22">
        <f>AN32*Тарифы!$B$32</f>
        <v>656.69999999999993</v>
      </c>
      <c r="AR32" s="22">
        <f>AK32*(Тарифы!$B$25+MAX(0,J32-5)*Тарифы!$B$26)</f>
        <v>2747.52</v>
      </c>
      <c r="AS32" s="22">
        <f>AK32*Тарифы!$B$27</f>
        <v>600</v>
      </c>
      <c r="AT32" s="22">
        <f>BP32*J32*$C$48*'Затраты продавца'!$B$5</f>
        <v>2585.0880000000002</v>
      </c>
      <c r="AU32" s="22">
        <f>AK32*('Затраты продавца'!$B$6+'Затраты продавца'!$B$7)</f>
        <v>1680</v>
      </c>
      <c r="AV32" s="22">
        <f>AK32*Тарифы!$B$24</f>
        <v>240</v>
      </c>
      <c r="AW32" s="22">
        <f>AL32*((Тарифы!$B$25+MAX(0,J32-5)*Тарифы!$B$26)*Тарифы!$B$28+'Затраты продавца'!$B$9+(1-'Затраты продавца'!$B$10)*I32*$C$55)</f>
        <v>665.96</v>
      </c>
      <c r="AX32" s="22">
        <f>AJ32*Тарифы!$B$29</f>
        <v>450</v>
      </c>
      <c r="AY32" s="23">
        <f t="shared" si="22"/>
        <v>0.20275200000000002</v>
      </c>
      <c r="AZ32" s="117">
        <f t="shared" si="23"/>
        <v>22</v>
      </c>
      <c r="BA32" s="117">
        <f t="shared" si="24"/>
        <v>24</v>
      </c>
      <c r="BB32" s="22">
        <f t="shared" si="25"/>
        <v>43780</v>
      </c>
      <c r="BC32" s="22">
        <f t="shared" si="26"/>
        <v>17380</v>
      </c>
      <c r="BD32" s="22">
        <f t="shared" si="27"/>
        <v>6129.2000000000007</v>
      </c>
      <c r="BE32" s="22">
        <f t="shared" si="28"/>
        <v>656.69999999999993</v>
      </c>
      <c r="BF32" s="22">
        <f t="shared" si="29"/>
        <v>2747.52</v>
      </c>
      <c r="BG32" s="22">
        <f t="shared" si="30"/>
        <v>600</v>
      </c>
      <c r="BH32" s="22">
        <f t="shared" si="31"/>
        <v>2585.0880000000002</v>
      </c>
      <c r="BI32" s="22">
        <f t="shared" si="32"/>
        <v>0</v>
      </c>
      <c r="BJ32" s="22">
        <f t="shared" si="33"/>
        <v>1680</v>
      </c>
      <c r="BK32" s="22">
        <f t="shared" si="34"/>
        <v>240</v>
      </c>
      <c r="BL32" s="22">
        <f t="shared" si="35"/>
        <v>665.96</v>
      </c>
      <c r="BM32" s="22">
        <f t="shared" si="36"/>
        <v>450</v>
      </c>
      <c r="BN32" s="24">
        <f>Y32*I32*(1-'Затраты продавца'!$B$10)*$C$55</f>
        <v>237.00000000000003</v>
      </c>
      <c r="BO32" s="118">
        <f t="shared" si="37"/>
        <v>68</v>
      </c>
      <c r="BP32" s="118">
        <f t="shared" si="38"/>
        <v>68</v>
      </c>
      <c r="BQ32" s="118">
        <f t="shared" si="39"/>
        <v>68</v>
      </c>
    </row>
    <row r="33" spans="1:69" ht="21" customHeight="1" x14ac:dyDescent="0.15">
      <c r="A33" s="3"/>
      <c r="B33" s="12" t="str">
        <f>HYPERLINK("#'SKU'!A30","SKU!30")</f>
        <v>SKU!30</v>
      </c>
      <c r="C33" s="12" t="str">
        <f>SKU!A30</f>
        <v>SM-0029</v>
      </c>
      <c r="D33" s="12" t="str">
        <f>SKU!B30</f>
        <v>Очки для плавания стартовые</v>
      </c>
      <c r="E33" s="12" t="str">
        <f>SKU!C30</f>
        <v>Аксессуары</v>
      </c>
      <c r="F33" s="12" t="str">
        <f>SKU!L30</f>
        <v>не представлен</v>
      </c>
      <c r="G33" s="116">
        <f>SKU!K30*IF(SKU!L30="не представлен",$C$52,1)</f>
        <v>40</v>
      </c>
      <c r="H33" s="13">
        <f>SKU!D30</f>
        <v>2490</v>
      </c>
      <c r="I33" s="13">
        <f>SKU!E30</f>
        <v>880</v>
      </c>
      <c r="J33" s="14">
        <f>SKU!I30</f>
        <v>0.63</v>
      </c>
      <c r="K33" s="15">
        <f>SKU!N30</f>
        <v>0.05</v>
      </c>
      <c r="L33" s="16">
        <f>IF(ISNUMBER(SKU!M30),SKU!M30,$C$53)</f>
        <v>75.361847430061744</v>
      </c>
      <c r="M33" s="15">
        <f t="shared" si="0"/>
        <v>0.18</v>
      </c>
      <c r="N33" s="15">
        <f t="shared" si="1"/>
        <v>0.17</v>
      </c>
      <c r="O33" s="17">
        <f t="shared" si="2"/>
        <v>38899.955000000002</v>
      </c>
      <c r="P33" s="17">
        <f t="shared" si="3"/>
        <v>32663.584999999999</v>
      </c>
      <c r="Q33" s="18" t="str">
        <f t="shared" si="4"/>
        <v>FBO</v>
      </c>
      <c r="R33" s="19" t="s">
        <v>112</v>
      </c>
      <c r="S33" s="18" t="str">
        <f t="shared" si="5"/>
        <v>FBO</v>
      </c>
      <c r="T33" s="17">
        <f t="shared" si="6"/>
        <v>38899.955000000002</v>
      </c>
      <c r="U33" s="20">
        <f t="shared" si="7"/>
        <v>0</v>
      </c>
      <c r="V33" s="21">
        <f t="shared" si="8"/>
        <v>0</v>
      </c>
      <c r="W33" s="6"/>
      <c r="X33" s="117">
        <f t="shared" si="9"/>
        <v>43</v>
      </c>
      <c r="Y33" s="117">
        <f t="shared" si="10"/>
        <v>3</v>
      </c>
      <c r="Z33" s="22">
        <f t="shared" si="11"/>
        <v>99600</v>
      </c>
      <c r="AA33" s="22">
        <f t="shared" si="12"/>
        <v>35200</v>
      </c>
      <c r="AB33" s="22">
        <f t="shared" si="13"/>
        <v>17928</v>
      </c>
      <c r="AC33" s="22">
        <f>Z33*Тарифы!$B$32</f>
        <v>1494</v>
      </c>
      <c r="AD33" s="22">
        <f>X33*(Тарифы!$B$18+MAX(0,J33-5)*Тарифы!$B$19)</f>
        <v>3440</v>
      </c>
      <c r="AE33" s="22">
        <f>X33*Тарифы!$B$20</f>
        <v>1075</v>
      </c>
      <c r="AF33" s="22">
        <f>BO33*J33*$C$48*IF(E33="Крупногабарит",$C$68,Тарифы!$B$21)</f>
        <v>927.04499999999996</v>
      </c>
      <c r="AG33" s="22">
        <f>X33*J33*'Затраты продавца'!$B$12</f>
        <v>67.724999999999994</v>
      </c>
      <c r="AH33" s="22">
        <f>Y33*(Тарифы!$B$18+MAX(0,J33-5)*Тарифы!$B$19)*Тарифы!$B$22</f>
        <v>240</v>
      </c>
      <c r="AI33" s="117">
        <f t="shared" si="14"/>
        <v>43</v>
      </c>
      <c r="AJ33" s="117">
        <f t="shared" si="15"/>
        <v>5</v>
      </c>
      <c r="AK33" s="117">
        <f t="shared" si="16"/>
        <v>38</v>
      </c>
      <c r="AL33" s="117">
        <f t="shared" si="17"/>
        <v>2</v>
      </c>
      <c r="AM33" s="117">
        <f t="shared" si="18"/>
        <v>36</v>
      </c>
      <c r="AN33" s="22">
        <f t="shared" si="19"/>
        <v>89640</v>
      </c>
      <c r="AO33" s="22">
        <f t="shared" si="20"/>
        <v>31680</v>
      </c>
      <c r="AP33" s="22">
        <f t="shared" si="21"/>
        <v>15238.800000000001</v>
      </c>
      <c r="AQ33" s="22">
        <f>AN33*Тарифы!$B$32</f>
        <v>1344.6</v>
      </c>
      <c r="AR33" s="22">
        <f>AK33*(Тарифы!$B$25+MAX(0,J33-5)*Тарифы!$B$26)</f>
        <v>3040</v>
      </c>
      <c r="AS33" s="22">
        <f>AK33*Тарифы!$B$27</f>
        <v>950</v>
      </c>
      <c r="AT33" s="22">
        <f>BP33*J33*$C$48*'Затраты продавца'!$B$5</f>
        <v>309.01499999999999</v>
      </c>
      <c r="AU33" s="22">
        <f>AK33*('Затраты продавца'!$B$6+'Затраты продавца'!$B$7)</f>
        <v>2660</v>
      </c>
      <c r="AV33" s="22">
        <f>AK33*Тарифы!$B$24</f>
        <v>380</v>
      </c>
      <c r="AW33" s="22">
        <f>AL33*((Тарифы!$B$25+MAX(0,J33-5)*Тарифы!$B$26)*Тарифы!$B$28+'Затраты продавца'!$B$9+(1-'Затраты продавца'!$B$10)*I33*$C$55)</f>
        <v>624</v>
      </c>
      <c r="AX33" s="22">
        <f>AJ33*Тарифы!$B$29</f>
        <v>750</v>
      </c>
      <c r="AY33" s="23">
        <f t="shared" si="22"/>
        <v>2.3940000000000003E-2</v>
      </c>
      <c r="AZ33" s="117">
        <f t="shared" si="23"/>
        <v>40</v>
      </c>
      <c r="BA33" s="117">
        <f t="shared" si="24"/>
        <v>43</v>
      </c>
      <c r="BB33" s="22">
        <f t="shared" si="25"/>
        <v>99600</v>
      </c>
      <c r="BC33" s="22">
        <f t="shared" si="26"/>
        <v>35200</v>
      </c>
      <c r="BD33" s="22">
        <f t="shared" si="27"/>
        <v>17928</v>
      </c>
      <c r="BE33" s="22">
        <f t="shared" si="28"/>
        <v>1494</v>
      </c>
      <c r="BF33" s="22">
        <f t="shared" si="29"/>
        <v>3440</v>
      </c>
      <c r="BG33" s="22">
        <f t="shared" si="30"/>
        <v>1075</v>
      </c>
      <c r="BH33" s="22">
        <f t="shared" si="31"/>
        <v>927.04499999999996</v>
      </c>
      <c r="BI33" s="22">
        <f t="shared" si="32"/>
        <v>67.724999999999994</v>
      </c>
      <c r="BJ33" s="22">
        <f t="shared" si="33"/>
        <v>0</v>
      </c>
      <c r="BK33" s="22">
        <f t="shared" si="34"/>
        <v>0</v>
      </c>
      <c r="BL33" s="22">
        <f t="shared" si="35"/>
        <v>240</v>
      </c>
      <c r="BM33" s="22">
        <f t="shared" si="36"/>
        <v>0</v>
      </c>
      <c r="BN33" s="24">
        <f>Y33*I33*(1-'Затраты продавца'!$B$10)*$C$55</f>
        <v>396.00000000000006</v>
      </c>
      <c r="BO33" s="118">
        <f t="shared" si="37"/>
        <v>109</v>
      </c>
      <c r="BP33" s="118">
        <f t="shared" si="38"/>
        <v>109</v>
      </c>
      <c r="BQ33" s="118">
        <f t="shared" si="39"/>
        <v>109</v>
      </c>
    </row>
    <row r="34" spans="1:69" ht="21" customHeight="1" x14ac:dyDescent="0.15">
      <c r="A34" s="3"/>
      <c r="B34" s="12" t="str">
        <f>HYPERLINK("#'SKU'!A31","SKU!31")</f>
        <v>SKU!31</v>
      </c>
      <c r="C34" s="12" t="str">
        <f>SKU!A31</f>
        <v>SM-0030</v>
      </c>
      <c r="D34" s="12" t="str">
        <f>SKU!B31</f>
        <v>Перчатки боксёрские 14 oz</v>
      </c>
      <c r="E34" s="12" t="str">
        <f>SKU!C31</f>
        <v>Фитнес</v>
      </c>
      <c r="F34" s="12" t="str">
        <f>SKU!L31</f>
        <v>не представлен</v>
      </c>
      <c r="G34" s="116">
        <f>SKU!K31*IF(SKU!L31="не представлен",$C$52,1)</f>
        <v>30</v>
      </c>
      <c r="H34" s="13">
        <f>SKU!D31</f>
        <v>3490</v>
      </c>
      <c r="I34" s="13">
        <f>SKU!E31</f>
        <v>1520</v>
      </c>
      <c r="J34" s="14">
        <f>SKU!I31</f>
        <v>9.1</v>
      </c>
      <c r="K34" s="15">
        <f>SKU!N31</f>
        <v>0.06</v>
      </c>
      <c r="L34" s="16">
        <f>IF(ISNUMBER(SKU!M31),SKU!M31,$C$53)</f>
        <v>75.361847430061744</v>
      </c>
      <c r="M34" s="15">
        <f t="shared" si="0"/>
        <v>0.15</v>
      </c>
      <c r="N34" s="15">
        <f t="shared" si="1"/>
        <v>0.14000000000000001</v>
      </c>
      <c r="O34" s="17">
        <f t="shared" si="2"/>
        <v>26503.649999999994</v>
      </c>
      <c r="P34" s="17">
        <f t="shared" si="3"/>
        <v>26012.350000000006</v>
      </c>
      <c r="Q34" s="18" t="str">
        <f t="shared" si="4"/>
        <v>FBO</v>
      </c>
      <c r="R34" s="19" t="s">
        <v>112</v>
      </c>
      <c r="S34" s="18" t="str">
        <f t="shared" si="5"/>
        <v>FBO</v>
      </c>
      <c r="T34" s="17">
        <f t="shared" si="6"/>
        <v>26503.649999999994</v>
      </c>
      <c r="U34" s="20">
        <f t="shared" si="7"/>
        <v>0</v>
      </c>
      <c r="V34" s="21">
        <f t="shared" si="8"/>
        <v>0</v>
      </c>
      <c r="W34" s="6"/>
      <c r="X34" s="117">
        <f t="shared" si="9"/>
        <v>32</v>
      </c>
      <c r="Y34" s="117">
        <f t="shared" si="10"/>
        <v>2</v>
      </c>
      <c r="Z34" s="22">
        <f t="shared" si="11"/>
        <v>104700</v>
      </c>
      <c r="AA34" s="22">
        <f t="shared" si="12"/>
        <v>45600</v>
      </c>
      <c r="AB34" s="22">
        <f t="shared" si="13"/>
        <v>15705</v>
      </c>
      <c r="AC34" s="22">
        <f>Z34*Тарифы!$B$32</f>
        <v>1570.5</v>
      </c>
      <c r="AD34" s="22">
        <f>X34*(Тарифы!$B$18+MAX(0,J34-5)*Тарифы!$B$19)</f>
        <v>3872</v>
      </c>
      <c r="AE34" s="22">
        <f>X34*Тарифы!$B$20</f>
        <v>800</v>
      </c>
      <c r="AF34" s="22">
        <f>BO34*J34*$C$48*IF(E34="Крупногабарит",$C$68,Тарифы!$B$21)</f>
        <v>9950.85</v>
      </c>
      <c r="AG34" s="22">
        <f>X34*J34*'Затраты продавца'!$B$12</f>
        <v>728</v>
      </c>
      <c r="AH34" s="22">
        <f>Y34*(Тарифы!$B$18+MAX(0,J34-5)*Тарифы!$B$19)*Тарифы!$B$22</f>
        <v>242</v>
      </c>
      <c r="AI34" s="117">
        <f t="shared" si="14"/>
        <v>32</v>
      </c>
      <c r="AJ34" s="117">
        <f t="shared" si="15"/>
        <v>4</v>
      </c>
      <c r="AK34" s="117">
        <f t="shared" si="16"/>
        <v>28</v>
      </c>
      <c r="AL34" s="117">
        <f t="shared" si="17"/>
        <v>2</v>
      </c>
      <c r="AM34" s="117">
        <f t="shared" si="18"/>
        <v>26</v>
      </c>
      <c r="AN34" s="22">
        <f t="shared" si="19"/>
        <v>90740</v>
      </c>
      <c r="AO34" s="22">
        <f t="shared" si="20"/>
        <v>39520</v>
      </c>
      <c r="AP34" s="22">
        <f t="shared" si="21"/>
        <v>12703.6</v>
      </c>
      <c r="AQ34" s="22">
        <f>AN34*Тарифы!$B$32</f>
        <v>1361.1</v>
      </c>
      <c r="AR34" s="22">
        <f>AK34*(Тарифы!$B$25+MAX(0,J34-5)*Тарифы!$B$26)</f>
        <v>3388</v>
      </c>
      <c r="AS34" s="22">
        <f>AK34*Тарифы!$B$27</f>
        <v>700</v>
      </c>
      <c r="AT34" s="22">
        <f>BP34*J34*$C$48*'Затраты продавца'!$B$5</f>
        <v>3316.95</v>
      </c>
      <c r="AU34" s="22">
        <f>AK34*('Затраты продавца'!$B$6+'Затраты продавца'!$B$7)</f>
        <v>1960</v>
      </c>
      <c r="AV34" s="22">
        <f>AK34*Тарифы!$B$24</f>
        <v>280</v>
      </c>
      <c r="AW34" s="22">
        <f>AL34*((Тарифы!$B$25+MAX(0,J34-5)*Тарифы!$B$26)*Тарифы!$B$28+'Затраты продавца'!$B$9+(1-'Затраты продавца'!$B$10)*I34*$C$55)</f>
        <v>898</v>
      </c>
      <c r="AX34" s="22">
        <f>AJ34*Тарифы!$B$29</f>
        <v>600</v>
      </c>
      <c r="AY34" s="23">
        <f t="shared" si="22"/>
        <v>0.25479999999999997</v>
      </c>
      <c r="AZ34" s="117">
        <f t="shared" si="23"/>
        <v>30</v>
      </c>
      <c r="BA34" s="117">
        <f t="shared" si="24"/>
        <v>32</v>
      </c>
      <c r="BB34" s="22">
        <f t="shared" si="25"/>
        <v>104700</v>
      </c>
      <c r="BC34" s="22">
        <f t="shared" si="26"/>
        <v>45600</v>
      </c>
      <c r="BD34" s="22">
        <f t="shared" si="27"/>
        <v>15705</v>
      </c>
      <c r="BE34" s="22">
        <f t="shared" si="28"/>
        <v>1570.5</v>
      </c>
      <c r="BF34" s="22">
        <f t="shared" si="29"/>
        <v>3872</v>
      </c>
      <c r="BG34" s="22">
        <f t="shared" si="30"/>
        <v>800</v>
      </c>
      <c r="BH34" s="22">
        <f t="shared" si="31"/>
        <v>9950.85</v>
      </c>
      <c r="BI34" s="22">
        <f t="shared" si="32"/>
        <v>728</v>
      </c>
      <c r="BJ34" s="22">
        <f t="shared" si="33"/>
        <v>0</v>
      </c>
      <c r="BK34" s="22">
        <f t="shared" si="34"/>
        <v>0</v>
      </c>
      <c r="BL34" s="22">
        <f t="shared" si="35"/>
        <v>242</v>
      </c>
      <c r="BM34" s="22">
        <f t="shared" si="36"/>
        <v>0</v>
      </c>
      <c r="BN34" s="24">
        <f>Y34*I34*(1-'Затраты продавца'!$B$10)*$C$55</f>
        <v>456.00000000000006</v>
      </c>
      <c r="BO34" s="118">
        <f t="shared" si="37"/>
        <v>81</v>
      </c>
      <c r="BP34" s="118">
        <f t="shared" si="38"/>
        <v>81</v>
      </c>
      <c r="BQ34" s="118">
        <f t="shared" si="39"/>
        <v>81</v>
      </c>
    </row>
    <row r="35" spans="1:69" ht="21" customHeight="1" x14ac:dyDescent="0.15">
      <c r="A35" s="3"/>
      <c r="B35" s="12" t="str">
        <f>HYPERLINK("#'SKU'!A32","SKU!32")</f>
        <v>SKU!32</v>
      </c>
      <c r="C35" s="12" t="str">
        <f>SKU!A32</f>
        <v>SM-0031</v>
      </c>
      <c r="D35" s="12" t="str">
        <f>SKU!B32</f>
        <v>Шлем горнолыжный</v>
      </c>
      <c r="E35" s="12" t="str">
        <f>SKU!C32</f>
        <v>Аксессуары</v>
      </c>
      <c r="F35" s="12" t="str">
        <f>SKU!L32</f>
        <v>не представлен</v>
      </c>
      <c r="G35" s="116">
        <f>SKU!K32*IF(SKU!L32="не представлен",$C$52,1)</f>
        <v>15</v>
      </c>
      <c r="H35" s="13">
        <f>SKU!D32</f>
        <v>4990</v>
      </c>
      <c r="I35" s="13">
        <f>SKU!E32</f>
        <v>2250</v>
      </c>
      <c r="J35" s="14">
        <f>SKU!I32</f>
        <v>18</v>
      </c>
      <c r="K35" s="15">
        <f>SKU!N32</f>
        <v>0.09</v>
      </c>
      <c r="L35" s="16">
        <f>IF(ISNUMBER(SKU!M32),SKU!M32,$C$53)</f>
        <v>75.361847430061744</v>
      </c>
      <c r="M35" s="15">
        <f t="shared" si="0"/>
        <v>0.18</v>
      </c>
      <c r="N35" s="15">
        <f t="shared" si="1"/>
        <v>0.17</v>
      </c>
      <c r="O35" s="17">
        <f t="shared" si="2"/>
        <v>10965.25</v>
      </c>
      <c r="P35" s="17">
        <f t="shared" si="3"/>
        <v>13816.049999999996</v>
      </c>
      <c r="Q35" s="18" t="str">
        <f t="shared" si="4"/>
        <v>FBS</v>
      </c>
      <c r="R35" s="19" t="s">
        <v>112</v>
      </c>
      <c r="S35" s="18" t="str">
        <f t="shared" si="5"/>
        <v>FBS</v>
      </c>
      <c r="T35" s="17">
        <f t="shared" si="6"/>
        <v>13816.049999999996</v>
      </c>
      <c r="U35" s="20">
        <f t="shared" si="7"/>
        <v>15</v>
      </c>
      <c r="V35" s="21">
        <f t="shared" si="8"/>
        <v>0.27</v>
      </c>
      <c r="W35" s="6"/>
      <c r="X35" s="117">
        <f t="shared" si="9"/>
        <v>17</v>
      </c>
      <c r="Y35" s="117">
        <f t="shared" si="10"/>
        <v>2</v>
      </c>
      <c r="Z35" s="22">
        <f t="shared" si="11"/>
        <v>74850</v>
      </c>
      <c r="AA35" s="22">
        <f t="shared" si="12"/>
        <v>33750</v>
      </c>
      <c r="AB35" s="22">
        <f t="shared" si="13"/>
        <v>13473</v>
      </c>
      <c r="AC35" s="22">
        <f>Z35*Тарифы!$B$32</f>
        <v>1122.75</v>
      </c>
      <c r="AD35" s="22">
        <f>X35*(Тарифы!$B$18+MAX(0,J35-5)*Тарифы!$B$19)</f>
        <v>3570</v>
      </c>
      <c r="AE35" s="22">
        <f>X35*Тарифы!$B$20</f>
        <v>425</v>
      </c>
      <c r="AF35" s="22">
        <f>BO35*J35*$C$48*IF(E35="Крупногабарит",$C$68,Тарифы!$B$21)</f>
        <v>10449</v>
      </c>
      <c r="AG35" s="22">
        <f>X35*J35*'Затраты продавца'!$B$12</f>
        <v>765</v>
      </c>
      <c r="AH35" s="22">
        <f>Y35*(Тарифы!$B$18+MAX(0,J35-5)*Тарифы!$B$19)*Тарифы!$B$22</f>
        <v>420</v>
      </c>
      <c r="AI35" s="117">
        <f t="shared" si="14"/>
        <v>17</v>
      </c>
      <c r="AJ35" s="117">
        <f t="shared" si="15"/>
        <v>2</v>
      </c>
      <c r="AK35" s="117">
        <f t="shared" si="16"/>
        <v>15</v>
      </c>
      <c r="AL35" s="117">
        <f t="shared" si="17"/>
        <v>2</v>
      </c>
      <c r="AM35" s="117">
        <f t="shared" si="18"/>
        <v>13</v>
      </c>
      <c r="AN35" s="22">
        <f t="shared" si="19"/>
        <v>64870</v>
      </c>
      <c r="AO35" s="22">
        <f t="shared" si="20"/>
        <v>29250</v>
      </c>
      <c r="AP35" s="22">
        <f t="shared" si="21"/>
        <v>11027.900000000001</v>
      </c>
      <c r="AQ35" s="22">
        <f>AN35*Тарифы!$B$32</f>
        <v>973.05</v>
      </c>
      <c r="AR35" s="22">
        <f>AK35*(Тарифы!$B$25+MAX(0,J35-5)*Тарифы!$B$26)</f>
        <v>3150</v>
      </c>
      <c r="AS35" s="22">
        <f>AK35*Тарифы!$B$27</f>
        <v>375</v>
      </c>
      <c r="AT35" s="22">
        <f>BP35*J35*$C$48*'Затраты продавца'!$B$5</f>
        <v>3483</v>
      </c>
      <c r="AU35" s="22">
        <f>AK35*('Затраты продавца'!$B$6+'Затраты продавца'!$B$7)</f>
        <v>1050</v>
      </c>
      <c r="AV35" s="22">
        <f>AK35*Тарифы!$B$24</f>
        <v>150</v>
      </c>
      <c r="AW35" s="22">
        <f>AL35*((Тарифы!$B$25+MAX(0,J35-5)*Тарифы!$B$26)*Тарифы!$B$28+'Затраты продавца'!$B$9+(1-'Затраты продавца'!$B$10)*I35*$C$55)</f>
        <v>1295</v>
      </c>
      <c r="AX35" s="22">
        <f>AJ35*Тарифы!$B$29</f>
        <v>300</v>
      </c>
      <c r="AY35" s="23">
        <f t="shared" si="22"/>
        <v>0.27</v>
      </c>
      <c r="AZ35" s="117">
        <f t="shared" si="23"/>
        <v>13</v>
      </c>
      <c r="BA35" s="117">
        <f t="shared" si="24"/>
        <v>15</v>
      </c>
      <c r="BB35" s="22">
        <f t="shared" si="25"/>
        <v>64870</v>
      </c>
      <c r="BC35" s="22">
        <f t="shared" si="26"/>
        <v>29250</v>
      </c>
      <c r="BD35" s="22">
        <f t="shared" si="27"/>
        <v>11027.900000000001</v>
      </c>
      <c r="BE35" s="22">
        <f t="shared" si="28"/>
        <v>973.05</v>
      </c>
      <c r="BF35" s="22">
        <f t="shared" si="29"/>
        <v>3150</v>
      </c>
      <c r="BG35" s="22">
        <f t="shared" si="30"/>
        <v>375</v>
      </c>
      <c r="BH35" s="22">
        <f t="shared" si="31"/>
        <v>3483</v>
      </c>
      <c r="BI35" s="22">
        <f t="shared" si="32"/>
        <v>0</v>
      </c>
      <c r="BJ35" s="22">
        <f t="shared" si="33"/>
        <v>1050</v>
      </c>
      <c r="BK35" s="22">
        <f t="shared" si="34"/>
        <v>150</v>
      </c>
      <c r="BL35" s="22">
        <f t="shared" si="35"/>
        <v>1295</v>
      </c>
      <c r="BM35" s="22">
        <f t="shared" si="36"/>
        <v>300</v>
      </c>
      <c r="BN35" s="24">
        <f>Y35*I35*(1-'Затраты продавца'!$B$10)*$C$55</f>
        <v>675.00000000000011</v>
      </c>
      <c r="BO35" s="118">
        <f t="shared" si="37"/>
        <v>43</v>
      </c>
      <c r="BP35" s="118">
        <f t="shared" si="38"/>
        <v>43</v>
      </c>
      <c r="BQ35" s="118">
        <f t="shared" si="39"/>
        <v>43</v>
      </c>
    </row>
    <row r="36" spans="1:69" ht="21" customHeight="1" x14ac:dyDescent="0.15">
      <c r="A36" s="3"/>
      <c r="B36" s="12" t="str">
        <f>HYPERLINK("#'SKU'!A33","SKU!33")</f>
        <v>SKU!33</v>
      </c>
      <c r="C36" s="12" t="str">
        <f>SKU!A33</f>
        <v>SM-0032</v>
      </c>
      <c r="D36" s="12" t="str">
        <f>SKU!B33</f>
        <v>Крепления для сноуборда</v>
      </c>
      <c r="E36" s="12" t="str">
        <f>SKU!C33</f>
        <v>Аксессуары</v>
      </c>
      <c r="F36" s="12" t="str">
        <f>SKU!L33</f>
        <v>не представлен</v>
      </c>
      <c r="G36" s="116">
        <f>SKU!K33*IF(SKU!L33="не представлен",$C$52,1)</f>
        <v>10</v>
      </c>
      <c r="H36" s="13">
        <f>SKU!D33</f>
        <v>8990</v>
      </c>
      <c r="I36" s="13">
        <f>SKU!E33</f>
        <v>4280</v>
      </c>
      <c r="J36" s="14">
        <f>SKU!I33</f>
        <v>14.56</v>
      </c>
      <c r="K36" s="15">
        <f>SKU!N33</f>
        <v>7.0000000000000007E-2</v>
      </c>
      <c r="L36" s="16">
        <f>IF(ISNUMBER(SKU!M33),SKU!M33,$C$53)</f>
        <v>75.361847430061744</v>
      </c>
      <c r="M36" s="15">
        <f t="shared" si="0"/>
        <v>0.18</v>
      </c>
      <c r="N36" s="15">
        <f t="shared" si="1"/>
        <v>0.17</v>
      </c>
      <c r="O36" s="17">
        <f t="shared" si="2"/>
        <v>21041.620000000003</v>
      </c>
      <c r="P36" s="17">
        <f t="shared" si="3"/>
        <v>18797.239999999998</v>
      </c>
      <c r="Q36" s="18" t="str">
        <f t="shared" si="4"/>
        <v>FBO</v>
      </c>
      <c r="R36" s="19" t="s">
        <v>112</v>
      </c>
      <c r="S36" s="18" t="str">
        <f t="shared" si="5"/>
        <v>FBO</v>
      </c>
      <c r="T36" s="17">
        <f t="shared" si="6"/>
        <v>21041.620000000003</v>
      </c>
      <c r="U36" s="20">
        <f t="shared" si="7"/>
        <v>0</v>
      </c>
      <c r="V36" s="21">
        <f t="shared" si="8"/>
        <v>0</v>
      </c>
      <c r="W36" s="6"/>
      <c r="X36" s="117">
        <f t="shared" si="9"/>
        <v>11</v>
      </c>
      <c r="Y36" s="117">
        <f t="shared" si="10"/>
        <v>1</v>
      </c>
      <c r="Z36" s="22">
        <f t="shared" si="11"/>
        <v>89900</v>
      </c>
      <c r="AA36" s="22">
        <f t="shared" si="12"/>
        <v>42800</v>
      </c>
      <c r="AB36" s="22">
        <f t="shared" si="13"/>
        <v>16182</v>
      </c>
      <c r="AC36" s="22">
        <f>Z36*Тарифы!$B$32</f>
        <v>1348.5</v>
      </c>
      <c r="AD36" s="22">
        <f>X36*(Тарифы!$B$18+MAX(0,J36-5)*Тарифы!$B$19)</f>
        <v>1931.6000000000004</v>
      </c>
      <c r="AE36" s="22">
        <f>X36*Тарифы!$B$20</f>
        <v>275</v>
      </c>
      <c r="AF36" s="22">
        <f>BO36*J36*$C$48*IF(E36="Крупногабарит",$C$68,Тарифы!$B$21)</f>
        <v>5503.68</v>
      </c>
      <c r="AG36" s="22">
        <f>X36*J36*'Затраты продавца'!$B$12</f>
        <v>400.4</v>
      </c>
      <c r="AH36" s="22">
        <f>Y36*(Тарифы!$B$18+MAX(0,J36-5)*Тарифы!$B$19)*Тарифы!$B$22</f>
        <v>175.60000000000002</v>
      </c>
      <c r="AI36" s="117">
        <f t="shared" si="14"/>
        <v>11</v>
      </c>
      <c r="AJ36" s="117">
        <f t="shared" si="15"/>
        <v>2</v>
      </c>
      <c r="AK36" s="117">
        <f t="shared" si="16"/>
        <v>9</v>
      </c>
      <c r="AL36" s="117">
        <f t="shared" si="17"/>
        <v>1</v>
      </c>
      <c r="AM36" s="117">
        <f t="shared" si="18"/>
        <v>8</v>
      </c>
      <c r="AN36" s="22">
        <f t="shared" si="19"/>
        <v>71920</v>
      </c>
      <c r="AO36" s="22">
        <f t="shared" si="20"/>
        <v>34240</v>
      </c>
      <c r="AP36" s="22">
        <f t="shared" si="21"/>
        <v>12226.400000000001</v>
      </c>
      <c r="AQ36" s="22">
        <f>AN36*Тарифы!$B$32</f>
        <v>1078.8</v>
      </c>
      <c r="AR36" s="22">
        <f>AK36*(Тарифы!$B$25+MAX(0,J36-5)*Тарифы!$B$26)</f>
        <v>1580.4</v>
      </c>
      <c r="AS36" s="22">
        <f>AK36*Тарифы!$B$27</f>
        <v>225</v>
      </c>
      <c r="AT36" s="22">
        <f>BP36*J36*$C$48*'Затраты продавца'!$B$5</f>
        <v>1834.56</v>
      </c>
      <c r="AU36" s="22">
        <f>AK36*('Затраты продавца'!$B$6+'Затраты продавца'!$B$7)</f>
        <v>630</v>
      </c>
      <c r="AV36" s="22">
        <f>AK36*Тарифы!$B$24</f>
        <v>90</v>
      </c>
      <c r="AW36" s="22">
        <f>AL36*((Тарифы!$B$25+MAX(0,J36-5)*Тарифы!$B$26)*Тарифы!$B$28+'Затраты продавца'!$B$9+(1-'Затраты продавца'!$B$10)*I36*$C$55)</f>
        <v>917.60000000000014</v>
      </c>
      <c r="AX36" s="22">
        <f>AJ36*Тарифы!$B$29</f>
        <v>300</v>
      </c>
      <c r="AY36" s="23">
        <f t="shared" si="22"/>
        <v>0.13103999999999999</v>
      </c>
      <c r="AZ36" s="117">
        <f t="shared" si="23"/>
        <v>10</v>
      </c>
      <c r="BA36" s="117">
        <f t="shared" si="24"/>
        <v>11</v>
      </c>
      <c r="BB36" s="22">
        <f t="shared" si="25"/>
        <v>89900</v>
      </c>
      <c r="BC36" s="22">
        <f t="shared" si="26"/>
        <v>42800</v>
      </c>
      <c r="BD36" s="22">
        <f t="shared" si="27"/>
        <v>16182</v>
      </c>
      <c r="BE36" s="22">
        <f t="shared" si="28"/>
        <v>1348.5</v>
      </c>
      <c r="BF36" s="22">
        <f t="shared" si="29"/>
        <v>1931.6000000000004</v>
      </c>
      <c r="BG36" s="22">
        <f t="shared" si="30"/>
        <v>275</v>
      </c>
      <c r="BH36" s="22">
        <f t="shared" si="31"/>
        <v>5503.68</v>
      </c>
      <c r="BI36" s="22">
        <f t="shared" si="32"/>
        <v>400.4</v>
      </c>
      <c r="BJ36" s="22">
        <f t="shared" si="33"/>
        <v>0</v>
      </c>
      <c r="BK36" s="22">
        <f t="shared" si="34"/>
        <v>0</v>
      </c>
      <c r="BL36" s="22">
        <f t="shared" si="35"/>
        <v>175.60000000000002</v>
      </c>
      <c r="BM36" s="22">
        <f t="shared" si="36"/>
        <v>0</v>
      </c>
      <c r="BN36" s="24">
        <f>Y36*I36*(1-'Затраты продавца'!$B$10)*$C$55</f>
        <v>642.00000000000011</v>
      </c>
      <c r="BO36" s="118">
        <f t="shared" si="37"/>
        <v>28</v>
      </c>
      <c r="BP36" s="118">
        <f t="shared" si="38"/>
        <v>28</v>
      </c>
      <c r="BQ36" s="118">
        <f t="shared" si="39"/>
        <v>28</v>
      </c>
    </row>
    <row r="37" spans="1:69" ht="21" customHeight="1" x14ac:dyDescent="0.15">
      <c r="A37" s="3"/>
      <c r="B37" s="12" t="str">
        <f>HYPERLINK("#'SKU'!A34","SKU!34")</f>
        <v>SKU!34</v>
      </c>
      <c r="C37" s="12" t="str">
        <f>SKU!A34</f>
        <v>SM-0033</v>
      </c>
      <c r="D37" s="12" t="str">
        <f>SKU!B34</f>
        <v>Бутылка спортивная 0,7 л</v>
      </c>
      <c r="E37" s="12" t="str">
        <f>SKU!C34</f>
        <v>Аксессуары</v>
      </c>
      <c r="F37" s="12" t="str">
        <f>SKU!L34</f>
        <v>FBO</v>
      </c>
      <c r="G37" s="116">
        <f>SKU!K34*IF(SKU!L34="не представлен",$C$52,1)</f>
        <v>520</v>
      </c>
      <c r="H37" s="13">
        <f>SKU!D34</f>
        <v>690</v>
      </c>
      <c r="I37" s="13">
        <f>SKU!E34</f>
        <v>210</v>
      </c>
      <c r="J37" s="14">
        <f>SKU!I34</f>
        <v>1.6639999999999999</v>
      </c>
      <c r="K37" s="15">
        <f>SKU!N34</f>
        <v>0.02</v>
      </c>
      <c r="L37" s="16">
        <f>IF(ISNUMBER(SKU!M34),SKU!M34,$C$53)</f>
        <v>92.494762942359799</v>
      </c>
      <c r="M37" s="15">
        <f t="shared" si="0"/>
        <v>0.18</v>
      </c>
      <c r="N37" s="15">
        <f t="shared" si="1"/>
        <v>0.17</v>
      </c>
      <c r="O37" s="17">
        <f t="shared" si="2"/>
        <v>85856.467999999993</v>
      </c>
      <c r="P37" s="17">
        <f t="shared" si="3"/>
        <v>53822.105999999971</v>
      </c>
      <c r="Q37" s="18" t="str">
        <f t="shared" si="4"/>
        <v>FBO</v>
      </c>
      <c r="R37" s="19" t="s">
        <v>112</v>
      </c>
      <c r="S37" s="18" t="str">
        <f t="shared" si="5"/>
        <v>FBO</v>
      </c>
      <c r="T37" s="17">
        <f t="shared" si="6"/>
        <v>85856.467999999993</v>
      </c>
      <c r="U37" s="20">
        <f t="shared" si="7"/>
        <v>0</v>
      </c>
      <c r="V37" s="21">
        <f t="shared" si="8"/>
        <v>0</v>
      </c>
      <c r="W37" s="6"/>
      <c r="X37" s="117">
        <f t="shared" si="9"/>
        <v>531</v>
      </c>
      <c r="Y37" s="117">
        <f t="shared" si="10"/>
        <v>11</v>
      </c>
      <c r="Z37" s="22">
        <f t="shared" si="11"/>
        <v>358800</v>
      </c>
      <c r="AA37" s="22">
        <f t="shared" si="12"/>
        <v>109200</v>
      </c>
      <c r="AB37" s="22">
        <f t="shared" si="13"/>
        <v>64584</v>
      </c>
      <c r="AC37" s="22">
        <f>Z37*Тарифы!$B$32</f>
        <v>5382</v>
      </c>
      <c r="AD37" s="22">
        <f>X37*(Тарифы!$B$18+MAX(0,J37-5)*Тарифы!$B$19)</f>
        <v>42480</v>
      </c>
      <c r="AE37" s="22">
        <f>X37*Тарифы!$B$20</f>
        <v>13275</v>
      </c>
      <c r="AF37" s="22">
        <f>BO37*J37*$C$48*IF(E37="Крупногабарит",$C$68,Тарифы!$B$21)</f>
        <v>36796.032000000007</v>
      </c>
      <c r="AG37" s="22">
        <f>X37*J37*'Затраты продавца'!$B$12</f>
        <v>2208.96</v>
      </c>
      <c r="AH37" s="22">
        <f>Y37*(Тарифы!$B$18+MAX(0,J37-5)*Тарифы!$B$19)*Тарифы!$B$22</f>
        <v>880</v>
      </c>
      <c r="AI37" s="117">
        <f t="shared" si="14"/>
        <v>531</v>
      </c>
      <c r="AJ37" s="117">
        <f t="shared" si="15"/>
        <v>54</v>
      </c>
      <c r="AK37" s="117">
        <f t="shared" si="16"/>
        <v>477</v>
      </c>
      <c r="AL37" s="117">
        <f t="shared" si="17"/>
        <v>10</v>
      </c>
      <c r="AM37" s="117">
        <f t="shared" si="18"/>
        <v>467</v>
      </c>
      <c r="AN37" s="22">
        <f t="shared" si="19"/>
        <v>322230</v>
      </c>
      <c r="AO37" s="22">
        <f t="shared" si="20"/>
        <v>98070</v>
      </c>
      <c r="AP37" s="22">
        <f t="shared" si="21"/>
        <v>54779.100000000006</v>
      </c>
      <c r="AQ37" s="22">
        <f>AN37*Тарифы!$B$32</f>
        <v>4833.45</v>
      </c>
      <c r="AR37" s="22">
        <f>AK37*(Тарифы!$B$25+MAX(0,J37-5)*Тарифы!$B$26)</f>
        <v>38160</v>
      </c>
      <c r="AS37" s="22">
        <f>AK37*Тарифы!$B$27</f>
        <v>11925</v>
      </c>
      <c r="AT37" s="22">
        <f>BP37*J37*$C$48*'Затраты продавца'!$B$5</f>
        <v>12265.344000000001</v>
      </c>
      <c r="AU37" s="22">
        <f>AK37*('Затраты продавца'!$B$6+'Затраты продавца'!$B$7)</f>
        <v>33390</v>
      </c>
      <c r="AV37" s="22">
        <f>AK37*Тарифы!$B$24</f>
        <v>4770</v>
      </c>
      <c r="AW37" s="22">
        <f>AL37*((Тарифы!$B$25+MAX(0,J37-5)*Тарифы!$B$26)*Тарифы!$B$28+'Затраты продавца'!$B$9+(1-'Затраты продавца'!$B$10)*I37*$C$55)</f>
        <v>2115</v>
      </c>
      <c r="AX37" s="22">
        <f>AJ37*Тарифы!$B$29</f>
        <v>8100</v>
      </c>
      <c r="AY37" s="23">
        <f t="shared" si="22"/>
        <v>0.79372799999999999</v>
      </c>
      <c r="AZ37" s="117">
        <f t="shared" si="23"/>
        <v>520</v>
      </c>
      <c r="BA37" s="117">
        <f t="shared" si="24"/>
        <v>531</v>
      </c>
      <c r="BB37" s="22">
        <f t="shared" si="25"/>
        <v>358800</v>
      </c>
      <c r="BC37" s="22">
        <f t="shared" si="26"/>
        <v>109200</v>
      </c>
      <c r="BD37" s="22">
        <f t="shared" si="27"/>
        <v>64584</v>
      </c>
      <c r="BE37" s="22">
        <f t="shared" si="28"/>
        <v>5382</v>
      </c>
      <c r="BF37" s="22">
        <f t="shared" si="29"/>
        <v>42480</v>
      </c>
      <c r="BG37" s="22">
        <f t="shared" si="30"/>
        <v>13275</v>
      </c>
      <c r="BH37" s="22">
        <f t="shared" si="31"/>
        <v>36796.032000000007</v>
      </c>
      <c r="BI37" s="22">
        <f t="shared" si="32"/>
        <v>2208.96</v>
      </c>
      <c r="BJ37" s="22">
        <f t="shared" si="33"/>
        <v>0</v>
      </c>
      <c r="BK37" s="22">
        <f t="shared" si="34"/>
        <v>0</v>
      </c>
      <c r="BL37" s="22">
        <f t="shared" si="35"/>
        <v>880</v>
      </c>
      <c r="BM37" s="22">
        <f t="shared" si="36"/>
        <v>0</v>
      </c>
      <c r="BN37" s="24">
        <f>Y37*I37*(1-'Затраты продавца'!$B$10)*$C$55</f>
        <v>346.50000000000006</v>
      </c>
      <c r="BO37" s="118">
        <f t="shared" si="37"/>
        <v>1638</v>
      </c>
      <c r="BP37" s="118">
        <f t="shared" si="38"/>
        <v>1638</v>
      </c>
      <c r="BQ37" s="118">
        <f t="shared" si="39"/>
        <v>1638</v>
      </c>
    </row>
    <row r="38" spans="1:69" ht="21" customHeight="1" x14ac:dyDescent="0.15">
      <c r="A38" s="3"/>
      <c r="B38" s="12" t="str">
        <f>HYPERLINK("#'SKU'!A35","SKU!35")</f>
        <v>SKU!35</v>
      </c>
      <c r="C38" s="12" t="str">
        <f>SKU!A35</f>
        <v>SM-0034</v>
      </c>
      <c r="D38" s="12" t="str">
        <f>SKU!B35</f>
        <v>Носки спортивные (3 пары)</v>
      </c>
      <c r="E38" s="12" t="str">
        <f>SKU!C35</f>
        <v>Аксессуары</v>
      </c>
      <c r="F38" s="12" t="str">
        <f>SKU!L35</f>
        <v>FBO</v>
      </c>
      <c r="G38" s="116">
        <f>SKU!K35*IF(SKU!L35="не представлен",$C$52,1)</f>
        <v>700</v>
      </c>
      <c r="H38" s="13">
        <f>SKU!D35</f>
        <v>590</v>
      </c>
      <c r="I38" s="13">
        <f>SKU!E35</f>
        <v>175</v>
      </c>
      <c r="J38" s="14">
        <f>SKU!I35</f>
        <v>0.96</v>
      </c>
      <c r="K38" s="15">
        <f>SKU!N35</f>
        <v>0.03</v>
      </c>
      <c r="L38" s="16">
        <f>IF(ISNUMBER(SKU!M35),SKU!M35,$C$53)</f>
        <v>59.7839107128273</v>
      </c>
      <c r="M38" s="15">
        <f t="shared" si="0"/>
        <v>0.18</v>
      </c>
      <c r="N38" s="15">
        <f t="shared" si="1"/>
        <v>0.17</v>
      </c>
      <c r="O38" s="17">
        <f t="shared" si="2"/>
        <v>113168.06</v>
      </c>
      <c r="P38" s="17">
        <f t="shared" si="3"/>
        <v>51023.169999999984</v>
      </c>
      <c r="Q38" s="18" t="str">
        <f t="shared" si="4"/>
        <v>FBO</v>
      </c>
      <c r="R38" s="19" t="s">
        <v>112</v>
      </c>
      <c r="S38" s="18" t="str">
        <f t="shared" si="5"/>
        <v>FBO</v>
      </c>
      <c r="T38" s="17">
        <f t="shared" si="6"/>
        <v>113168.06</v>
      </c>
      <c r="U38" s="20">
        <f t="shared" si="7"/>
        <v>0</v>
      </c>
      <c r="V38" s="21">
        <f t="shared" si="8"/>
        <v>0</v>
      </c>
      <c r="W38" s="6"/>
      <c r="X38" s="117">
        <f t="shared" si="9"/>
        <v>722</v>
      </c>
      <c r="Y38" s="117">
        <f t="shared" si="10"/>
        <v>22</v>
      </c>
      <c r="Z38" s="22">
        <f t="shared" si="11"/>
        <v>413000</v>
      </c>
      <c r="AA38" s="22">
        <f t="shared" si="12"/>
        <v>122500</v>
      </c>
      <c r="AB38" s="22">
        <f t="shared" si="13"/>
        <v>74340</v>
      </c>
      <c r="AC38" s="22">
        <f>Z38*Тарифы!$B$32</f>
        <v>6195</v>
      </c>
      <c r="AD38" s="22">
        <f>X38*(Тарифы!$B$18+MAX(0,J38-5)*Тарифы!$B$19)</f>
        <v>57760</v>
      </c>
      <c r="AE38" s="22">
        <f>X38*Тарифы!$B$20</f>
        <v>18050</v>
      </c>
      <c r="AF38" s="22">
        <f>BO38*J38*$C$48*IF(E38="Крупногабарит",$C$68,Тарифы!$B$21)</f>
        <v>18649.440000000002</v>
      </c>
      <c r="AG38" s="22">
        <f>X38*J38*'Затраты продавца'!$B$12</f>
        <v>1732.8</v>
      </c>
      <c r="AH38" s="22">
        <f>Y38*(Тарифы!$B$18+MAX(0,J38-5)*Тарифы!$B$19)*Тарифы!$B$22</f>
        <v>1760</v>
      </c>
      <c r="AI38" s="117">
        <f t="shared" si="14"/>
        <v>722</v>
      </c>
      <c r="AJ38" s="117">
        <f t="shared" si="15"/>
        <v>73</v>
      </c>
      <c r="AK38" s="117">
        <f t="shared" si="16"/>
        <v>649</v>
      </c>
      <c r="AL38" s="117">
        <f t="shared" si="17"/>
        <v>20</v>
      </c>
      <c r="AM38" s="117">
        <f t="shared" si="18"/>
        <v>629</v>
      </c>
      <c r="AN38" s="22">
        <f t="shared" si="19"/>
        <v>371110</v>
      </c>
      <c r="AO38" s="22">
        <f t="shared" si="20"/>
        <v>110075</v>
      </c>
      <c r="AP38" s="22">
        <f t="shared" si="21"/>
        <v>63088.700000000004</v>
      </c>
      <c r="AQ38" s="22">
        <f>AN38*Тарифы!$B$32</f>
        <v>5566.65</v>
      </c>
      <c r="AR38" s="22">
        <f>AK38*(Тарифы!$B$25+MAX(0,J38-5)*Тарифы!$B$26)</f>
        <v>51920</v>
      </c>
      <c r="AS38" s="22">
        <f>AK38*Тарифы!$B$27</f>
        <v>16225</v>
      </c>
      <c r="AT38" s="22">
        <f>BP38*J38*$C$48*'Затраты продавца'!$B$5</f>
        <v>6216.4800000000005</v>
      </c>
      <c r="AU38" s="22">
        <f>AK38*('Затраты продавца'!$B$6+'Затраты продавца'!$B$7)</f>
        <v>45430</v>
      </c>
      <c r="AV38" s="22">
        <f>AK38*Тарифы!$B$24</f>
        <v>6490</v>
      </c>
      <c r="AW38" s="22">
        <f>AL38*((Тарифы!$B$25+MAX(0,J38-5)*Тарифы!$B$26)*Тарифы!$B$28+'Затраты продавца'!$B$9+(1-'Затраты продавца'!$B$10)*I38*$C$55)</f>
        <v>4125</v>
      </c>
      <c r="AX38" s="22">
        <f>AJ38*Тарифы!$B$29</f>
        <v>10950</v>
      </c>
      <c r="AY38" s="23">
        <f t="shared" si="22"/>
        <v>0.62303999999999993</v>
      </c>
      <c r="AZ38" s="117">
        <f t="shared" si="23"/>
        <v>700</v>
      </c>
      <c r="BA38" s="117">
        <f t="shared" si="24"/>
        <v>722</v>
      </c>
      <c r="BB38" s="22">
        <f t="shared" si="25"/>
        <v>413000</v>
      </c>
      <c r="BC38" s="22">
        <f t="shared" si="26"/>
        <v>122500</v>
      </c>
      <c r="BD38" s="22">
        <f t="shared" si="27"/>
        <v>74340</v>
      </c>
      <c r="BE38" s="22">
        <f t="shared" si="28"/>
        <v>6195</v>
      </c>
      <c r="BF38" s="22">
        <f t="shared" si="29"/>
        <v>57760</v>
      </c>
      <c r="BG38" s="22">
        <f t="shared" si="30"/>
        <v>18050</v>
      </c>
      <c r="BH38" s="22">
        <f t="shared" si="31"/>
        <v>18649.440000000002</v>
      </c>
      <c r="BI38" s="22">
        <f t="shared" si="32"/>
        <v>1732.8</v>
      </c>
      <c r="BJ38" s="22">
        <f t="shared" si="33"/>
        <v>0</v>
      </c>
      <c r="BK38" s="22">
        <f t="shared" si="34"/>
        <v>0</v>
      </c>
      <c r="BL38" s="22">
        <f t="shared" si="35"/>
        <v>1760</v>
      </c>
      <c r="BM38" s="22">
        <f t="shared" si="36"/>
        <v>0</v>
      </c>
      <c r="BN38" s="24">
        <f>Y38*I38*(1-'Затраты продавца'!$B$10)*$C$55</f>
        <v>577.50000000000011</v>
      </c>
      <c r="BO38" s="118">
        <f t="shared" si="37"/>
        <v>1439</v>
      </c>
      <c r="BP38" s="118">
        <f t="shared" si="38"/>
        <v>1439</v>
      </c>
      <c r="BQ38" s="118">
        <f t="shared" si="39"/>
        <v>1439</v>
      </c>
    </row>
    <row r="39" spans="1:69" ht="21" customHeight="1" x14ac:dyDescent="0.15">
      <c r="A39" s="3"/>
      <c r="B39" s="12" t="str">
        <f>HYPERLINK("#'SKU'!A36","SKU!36")</f>
        <v>SKU!36</v>
      </c>
      <c r="C39" s="12" t="str">
        <f>SKU!A36</f>
        <v>SM-0035</v>
      </c>
      <c r="D39" s="12" t="str">
        <f>SKU!B36</f>
        <v>Перчатки для фитнеса</v>
      </c>
      <c r="E39" s="12" t="str">
        <f>SKU!C36</f>
        <v>Аксессуары</v>
      </c>
      <c r="F39" s="12" t="str">
        <f>SKU!L36</f>
        <v>FBO</v>
      </c>
      <c r="G39" s="116">
        <f>SKU!K36*IF(SKU!L36="не представлен",$C$52,1)</f>
        <v>260</v>
      </c>
      <c r="H39" s="13">
        <f>SKU!D36</f>
        <v>690</v>
      </c>
      <c r="I39" s="13">
        <f>SKU!E36</f>
        <v>225</v>
      </c>
      <c r="J39" s="14">
        <f>SKU!I36</f>
        <v>0.64800000000000002</v>
      </c>
      <c r="K39" s="15">
        <f>SKU!N36</f>
        <v>0.05</v>
      </c>
      <c r="L39" s="16">
        <f>IF(ISNUMBER(SKU!M36),SKU!M36,$C$53)</f>
        <v>77.854435299336998</v>
      </c>
      <c r="M39" s="15">
        <f t="shared" si="0"/>
        <v>0.18</v>
      </c>
      <c r="N39" s="15">
        <f t="shared" si="1"/>
        <v>0.17</v>
      </c>
      <c r="O39" s="17">
        <f t="shared" si="2"/>
        <v>49325.923999999999</v>
      </c>
      <c r="P39" s="17">
        <f t="shared" si="3"/>
        <v>24037.608000000007</v>
      </c>
      <c r="Q39" s="18" t="str">
        <f t="shared" si="4"/>
        <v>FBO</v>
      </c>
      <c r="R39" s="19" t="s">
        <v>112</v>
      </c>
      <c r="S39" s="18" t="str">
        <f t="shared" si="5"/>
        <v>FBO</v>
      </c>
      <c r="T39" s="17">
        <f t="shared" si="6"/>
        <v>49325.923999999999</v>
      </c>
      <c r="U39" s="20">
        <f t="shared" si="7"/>
        <v>0</v>
      </c>
      <c r="V39" s="21">
        <f t="shared" si="8"/>
        <v>0</v>
      </c>
      <c r="W39" s="6"/>
      <c r="X39" s="117">
        <f t="shared" si="9"/>
        <v>274</v>
      </c>
      <c r="Y39" s="117">
        <f t="shared" si="10"/>
        <v>14</v>
      </c>
      <c r="Z39" s="22">
        <f t="shared" si="11"/>
        <v>179400</v>
      </c>
      <c r="AA39" s="22">
        <f t="shared" si="12"/>
        <v>58500</v>
      </c>
      <c r="AB39" s="22">
        <f t="shared" si="13"/>
        <v>32292</v>
      </c>
      <c r="AC39" s="22">
        <f>Z39*Тарифы!$B$32</f>
        <v>2691</v>
      </c>
      <c r="AD39" s="22">
        <f>X39*(Тарифы!$B$18+MAX(0,J39-5)*Тарифы!$B$19)</f>
        <v>21920</v>
      </c>
      <c r="AE39" s="22">
        <f>X39*Тарифы!$B$20</f>
        <v>6850</v>
      </c>
      <c r="AF39" s="22">
        <f>BO39*J39*$C$48*IF(E39="Крупногабарит",$C$68,Тарифы!$B$21)</f>
        <v>6228.576</v>
      </c>
      <c r="AG39" s="22">
        <f>X39*J39*'Затраты продавца'!$B$12</f>
        <v>443.88</v>
      </c>
      <c r="AH39" s="22">
        <f>Y39*(Тарифы!$B$18+MAX(0,J39-5)*Тарифы!$B$19)*Тарифы!$B$22</f>
        <v>1120</v>
      </c>
      <c r="AI39" s="117">
        <f t="shared" si="14"/>
        <v>274</v>
      </c>
      <c r="AJ39" s="117">
        <f t="shared" si="15"/>
        <v>28</v>
      </c>
      <c r="AK39" s="117">
        <f t="shared" si="16"/>
        <v>246</v>
      </c>
      <c r="AL39" s="117">
        <f t="shared" si="17"/>
        <v>13</v>
      </c>
      <c r="AM39" s="117">
        <f t="shared" si="18"/>
        <v>233</v>
      </c>
      <c r="AN39" s="22">
        <f t="shared" si="19"/>
        <v>160770</v>
      </c>
      <c r="AO39" s="22">
        <f t="shared" si="20"/>
        <v>52425</v>
      </c>
      <c r="AP39" s="22">
        <f t="shared" si="21"/>
        <v>27330.9</v>
      </c>
      <c r="AQ39" s="22">
        <f>AN39*Тарифы!$B$32</f>
        <v>2411.5499999999997</v>
      </c>
      <c r="AR39" s="22">
        <f>AK39*(Тарифы!$B$25+MAX(0,J39-5)*Тарифы!$B$26)</f>
        <v>19680</v>
      </c>
      <c r="AS39" s="22">
        <f>AK39*Тарифы!$B$27</f>
        <v>6150</v>
      </c>
      <c r="AT39" s="22">
        <f>BP39*J39*$C$48*'Затраты продавца'!$B$5</f>
        <v>2076.192</v>
      </c>
      <c r="AU39" s="22">
        <f>AK39*('Затраты продавца'!$B$6+'Затраты продавца'!$B$7)</f>
        <v>17220</v>
      </c>
      <c r="AV39" s="22">
        <f>AK39*Тарифы!$B$24</f>
        <v>2460</v>
      </c>
      <c r="AW39" s="22">
        <f>AL39*((Тарифы!$B$25+MAX(0,J39-5)*Тарифы!$B$26)*Тарифы!$B$28+'Затраты продавца'!$B$9+(1-'Затраты продавца'!$B$10)*I39*$C$55)</f>
        <v>2778.75</v>
      </c>
      <c r="AX39" s="22">
        <f>AJ39*Тарифы!$B$29</f>
        <v>4200</v>
      </c>
      <c r="AY39" s="23">
        <f t="shared" si="22"/>
        <v>0.15940800000000002</v>
      </c>
      <c r="AZ39" s="117">
        <f t="shared" si="23"/>
        <v>260</v>
      </c>
      <c r="BA39" s="117">
        <f t="shared" si="24"/>
        <v>274</v>
      </c>
      <c r="BB39" s="22">
        <f t="shared" si="25"/>
        <v>179400</v>
      </c>
      <c r="BC39" s="22">
        <f t="shared" si="26"/>
        <v>58500</v>
      </c>
      <c r="BD39" s="22">
        <f t="shared" si="27"/>
        <v>32292</v>
      </c>
      <c r="BE39" s="22">
        <f t="shared" si="28"/>
        <v>2691</v>
      </c>
      <c r="BF39" s="22">
        <f t="shared" si="29"/>
        <v>21920</v>
      </c>
      <c r="BG39" s="22">
        <f t="shared" si="30"/>
        <v>6850</v>
      </c>
      <c r="BH39" s="22">
        <f t="shared" si="31"/>
        <v>6228.576</v>
      </c>
      <c r="BI39" s="22">
        <f t="shared" si="32"/>
        <v>443.88</v>
      </c>
      <c r="BJ39" s="22">
        <f t="shared" si="33"/>
        <v>0</v>
      </c>
      <c r="BK39" s="22">
        <f t="shared" si="34"/>
        <v>0</v>
      </c>
      <c r="BL39" s="22">
        <f t="shared" si="35"/>
        <v>1120</v>
      </c>
      <c r="BM39" s="22">
        <f t="shared" si="36"/>
        <v>0</v>
      </c>
      <c r="BN39" s="24">
        <f>Y39*I39*(1-'Затраты продавца'!$B$10)*$C$55</f>
        <v>472.50000000000006</v>
      </c>
      <c r="BO39" s="118">
        <f t="shared" si="37"/>
        <v>712</v>
      </c>
      <c r="BP39" s="118">
        <f t="shared" si="38"/>
        <v>712</v>
      </c>
      <c r="BQ39" s="118">
        <f t="shared" si="39"/>
        <v>712</v>
      </c>
    </row>
    <row r="40" spans="1:69" ht="21" customHeight="1" x14ac:dyDescent="0.15">
      <c r="A40" s="3"/>
      <c r="B40" s="12" t="str">
        <f>HYPERLINK("#'SKU'!A37","SKU!37")</f>
        <v>SKU!37</v>
      </c>
      <c r="C40" s="12" t="str">
        <f>SKU!A37</f>
        <v>SM-0036</v>
      </c>
      <c r="D40" s="12" t="str">
        <f>SKU!B37</f>
        <v>Рюкзак городской 22 л</v>
      </c>
      <c r="E40" s="12" t="str">
        <f>SKU!C37</f>
        <v>Аксессуары</v>
      </c>
      <c r="F40" s="12" t="str">
        <f>SKU!L37</f>
        <v>FBO</v>
      </c>
      <c r="G40" s="116">
        <f>SKU!K37*IF(SKU!L37="не представлен",$C$52,1)</f>
        <v>190</v>
      </c>
      <c r="H40" s="13">
        <f>SKU!D37</f>
        <v>2990</v>
      </c>
      <c r="I40" s="13">
        <f>SKU!E37</f>
        <v>1180</v>
      </c>
      <c r="J40" s="14">
        <f>SKU!I37</f>
        <v>21.6</v>
      </c>
      <c r="K40" s="15">
        <f>SKU!N37</f>
        <v>0.08</v>
      </c>
      <c r="L40" s="16">
        <f>IF(ISNUMBER(SKU!M37),SKU!M37,$C$53)</f>
        <v>61.072119753919999</v>
      </c>
      <c r="M40" s="15">
        <f t="shared" si="0"/>
        <v>0.18</v>
      </c>
      <c r="N40" s="15">
        <f t="shared" si="1"/>
        <v>0.17</v>
      </c>
      <c r="O40" s="17">
        <f t="shared" si="2"/>
        <v>46777.299999999988</v>
      </c>
      <c r="P40" s="17">
        <f t="shared" si="3"/>
        <v>97621.950000000012</v>
      </c>
      <c r="Q40" s="18" t="str">
        <f t="shared" si="4"/>
        <v>FBS</v>
      </c>
      <c r="R40" s="19" t="s">
        <v>112</v>
      </c>
      <c r="S40" s="18" t="str">
        <f t="shared" si="5"/>
        <v>FBS</v>
      </c>
      <c r="T40" s="17">
        <f t="shared" si="6"/>
        <v>97621.950000000012</v>
      </c>
      <c r="U40" s="20">
        <f t="shared" si="7"/>
        <v>186</v>
      </c>
      <c r="V40" s="21">
        <f t="shared" si="8"/>
        <v>4.0176000000000007</v>
      </c>
      <c r="W40" s="6"/>
      <c r="X40" s="117">
        <f t="shared" si="9"/>
        <v>207</v>
      </c>
      <c r="Y40" s="117">
        <f t="shared" si="10"/>
        <v>17</v>
      </c>
      <c r="Z40" s="22">
        <f t="shared" si="11"/>
        <v>568100</v>
      </c>
      <c r="AA40" s="22">
        <f t="shared" si="12"/>
        <v>224200</v>
      </c>
      <c r="AB40" s="22">
        <f t="shared" si="13"/>
        <v>102258</v>
      </c>
      <c r="AC40" s="22">
        <f>Z40*Тарифы!$B$32</f>
        <v>8521.5</v>
      </c>
      <c r="AD40" s="22">
        <f>X40*(Тарифы!$B$18+MAX(0,J40-5)*Тарифы!$B$19)</f>
        <v>50922</v>
      </c>
      <c r="AE40" s="22">
        <f>X40*Тарифы!$B$20</f>
        <v>5175</v>
      </c>
      <c r="AF40" s="22">
        <f>BO40*J40*$C$48*IF(E40="Крупногабарит",$C$68,Тарифы!$B$21)</f>
        <v>123055.2</v>
      </c>
      <c r="AG40" s="22">
        <f>X40*J40*'Затраты продавца'!$B$12</f>
        <v>11178.000000000002</v>
      </c>
      <c r="AH40" s="22">
        <f>Y40*(Тарифы!$B$18+MAX(0,J40-5)*Тарифы!$B$19)*Тарифы!$B$22</f>
        <v>4182</v>
      </c>
      <c r="AI40" s="117">
        <f t="shared" si="14"/>
        <v>207</v>
      </c>
      <c r="AJ40" s="117">
        <f t="shared" si="15"/>
        <v>21</v>
      </c>
      <c r="AK40" s="117">
        <f t="shared" si="16"/>
        <v>186</v>
      </c>
      <c r="AL40" s="117">
        <f t="shared" si="17"/>
        <v>15</v>
      </c>
      <c r="AM40" s="117">
        <f t="shared" si="18"/>
        <v>171</v>
      </c>
      <c r="AN40" s="22">
        <f t="shared" si="19"/>
        <v>511290</v>
      </c>
      <c r="AO40" s="22">
        <f t="shared" si="20"/>
        <v>201780</v>
      </c>
      <c r="AP40" s="22">
        <f t="shared" si="21"/>
        <v>86919.3</v>
      </c>
      <c r="AQ40" s="22">
        <f>AN40*Тарифы!$B$32</f>
        <v>7669.3499999999995</v>
      </c>
      <c r="AR40" s="22">
        <f>AK40*(Тарифы!$B$25+MAX(0,J40-5)*Тарифы!$B$26)</f>
        <v>45756</v>
      </c>
      <c r="AS40" s="22">
        <f>AK40*Тарифы!$B$27</f>
        <v>4650</v>
      </c>
      <c r="AT40" s="22">
        <f>BP40*J40*$C$48*'Затраты продавца'!$B$5</f>
        <v>41018.400000000001</v>
      </c>
      <c r="AU40" s="22">
        <f>AK40*('Затраты продавца'!$B$6+'Затраты продавца'!$B$7)</f>
        <v>13020</v>
      </c>
      <c r="AV40" s="22">
        <f>AK40*Тарифы!$B$24</f>
        <v>1860</v>
      </c>
      <c r="AW40" s="22">
        <f>AL40*((Тарифы!$B$25+MAX(0,J40-5)*Тарифы!$B$26)*Тарифы!$B$28+'Затраты продавца'!$B$9+(1-'Затраты продавца'!$B$10)*I40*$C$55)</f>
        <v>7845</v>
      </c>
      <c r="AX40" s="22">
        <f>AJ40*Тарифы!$B$29</f>
        <v>3150</v>
      </c>
      <c r="AY40" s="23">
        <f t="shared" si="22"/>
        <v>4.0176000000000007</v>
      </c>
      <c r="AZ40" s="117">
        <f t="shared" si="23"/>
        <v>171</v>
      </c>
      <c r="BA40" s="117">
        <f t="shared" si="24"/>
        <v>186</v>
      </c>
      <c r="BB40" s="22">
        <f t="shared" si="25"/>
        <v>511290</v>
      </c>
      <c r="BC40" s="22">
        <f t="shared" si="26"/>
        <v>201780</v>
      </c>
      <c r="BD40" s="22">
        <f t="shared" si="27"/>
        <v>86919.3</v>
      </c>
      <c r="BE40" s="22">
        <f t="shared" si="28"/>
        <v>7669.3499999999995</v>
      </c>
      <c r="BF40" s="22">
        <f t="shared" si="29"/>
        <v>45756</v>
      </c>
      <c r="BG40" s="22">
        <f t="shared" si="30"/>
        <v>4650</v>
      </c>
      <c r="BH40" s="22">
        <f t="shared" si="31"/>
        <v>41018.400000000001</v>
      </c>
      <c r="BI40" s="22">
        <f t="shared" si="32"/>
        <v>0</v>
      </c>
      <c r="BJ40" s="22">
        <f t="shared" si="33"/>
        <v>13020</v>
      </c>
      <c r="BK40" s="22">
        <f t="shared" si="34"/>
        <v>1860</v>
      </c>
      <c r="BL40" s="22">
        <f t="shared" si="35"/>
        <v>7845</v>
      </c>
      <c r="BM40" s="22">
        <f t="shared" si="36"/>
        <v>3150</v>
      </c>
      <c r="BN40" s="24">
        <f>Y40*I40*(1-'Затраты продавца'!$B$10)*$C$55</f>
        <v>3009.0000000000005</v>
      </c>
      <c r="BO40" s="118">
        <f t="shared" si="37"/>
        <v>422</v>
      </c>
      <c r="BP40" s="118">
        <f t="shared" si="38"/>
        <v>422</v>
      </c>
      <c r="BQ40" s="118">
        <f t="shared" si="39"/>
        <v>422</v>
      </c>
    </row>
    <row r="41" spans="1:69" ht="21" customHeight="1" x14ac:dyDescent="0.15">
      <c r="A41" s="3"/>
      <c r="B41" s="12" t="str">
        <f>HYPERLINK("#'SKU'!A38","SKU!38")</f>
        <v>SKU!38</v>
      </c>
      <c r="C41" s="12" t="str">
        <f>SKU!A38</f>
        <v>SM-0037</v>
      </c>
      <c r="D41" s="12" t="str">
        <f>SKU!B38</f>
        <v>Сумка спортивная 45 л</v>
      </c>
      <c r="E41" s="12" t="str">
        <f>SKU!C38</f>
        <v>Аксессуары</v>
      </c>
      <c r="F41" s="12" t="str">
        <f>SKU!L38</f>
        <v>FBO</v>
      </c>
      <c r="G41" s="116">
        <f>SKU!K38*IF(SKU!L38="не представлен",$C$52,1)</f>
        <v>140</v>
      </c>
      <c r="H41" s="13">
        <f>SKU!D38</f>
        <v>2490</v>
      </c>
      <c r="I41" s="13">
        <f>SKU!E38</f>
        <v>990</v>
      </c>
      <c r="J41" s="14">
        <f>SKU!I38</f>
        <v>43.12</v>
      </c>
      <c r="K41" s="15">
        <f>SKU!N38</f>
        <v>7.0000000000000007E-2</v>
      </c>
      <c r="L41" s="16">
        <f>IF(ISNUMBER(SKU!M38),SKU!M38,$C$53)</f>
        <v>69.625232455424296</v>
      </c>
      <c r="M41" s="15">
        <f t="shared" si="0"/>
        <v>0.18</v>
      </c>
      <c r="N41" s="15">
        <f t="shared" si="1"/>
        <v>0.17</v>
      </c>
      <c r="O41" s="25">
        <f t="shared" si="2"/>
        <v>-142424.02000000002</v>
      </c>
      <c r="P41" s="25">
        <f t="shared" si="3"/>
        <v>-24123.289999999979</v>
      </c>
      <c r="Q41" s="18" t="str">
        <f t="shared" si="4"/>
        <v>Пауза</v>
      </c>
      <c r="R41" s="19" t="s">
        <v>112</v>
      </c>
      <c r="S41" s="18" t="str">
        <f t="shared" si="5"/>
        <v>Пауза</v>
      </c>
      <c r="T41" s="25">
        <f t="shared" si="6"/>
        <v>0</v>
      </c>
      <c r="U41" s="20">
        <f t="shared" si="7"/>
        <v>0</v>
      </c>
      <c r="V41" s="21">
        <f t="shared" si="8"/>
        <v>0</v>
      </c>
      <c r="W41" s="6"/>
      <c r="X41" s="117">
        <f t="shared" si="9"/>
        <v>151</v>
      </c>
      <c r="Y41" s="117">
        <f t="shared" si="10"/>
        <v>11</v>
      </c>
      <c r="Z41" s="22">
        <f t="shared" si="11"/>
        <v>348600</v>
      </c>
      <c r="AA41" s="22">
        <f t="shared" si="12"/>
        <v>138600</v>
      </c>
      <c r="AB41" s="22">
        <f t="shared" si="13"/>
        <v>62748</v>
      </c>
      <c r="AC41" s="22">
        <f>Z41*Тарифы!$B$32</f>
        <v>5229</v>
      </c>
      <c r="AD41" s="22">
        <f>X41*(Тарифы!$B$18+MAX(0,J41-5)*Тарифы!$B$19)</f>
        <v>69641.2</v>
      </c>
      <c r="AE41" s="22">
        <f>X41*Тарифы!$B$20</f>
        <v>3775</v>
      </c>
      <c r="AF41" s="22">
        <f>BO41*J41*$C$48*IF(E41="Крупногабарит",$C$68,Тарифы!$B$21)</f>
        <v>204324.12</v>
      </c>
      <c r="AG41" s="22">
        <f>X41*J41*'Затраты продавца'!$B$12</f>
        <v>16277.8</v>
      </c>
      <c r="AH41" s="22">
        <f>Y41*(Тарифы!$B$18+MAX(0,J41-5)*Тарифы!$B$19)*Тарифы!$B$22</f>
        <v>5073.2</v>
      </c>
      <c r="AI41" s="117">
        <f t="shared" si="14"/>
        <v>151</v>
      </c>
      <c r="AJ41" s="117">
        <f t="shared" si="15"/>
        <v>16</v>
      </c>
      <c r="AK41" s="117">
        <f t="shared" si="16"/>
        <v>135</v>
      </c>
      <c r="AL41" s="117">
        <f t="shared" si="17"/>
        <v>10</v>
      </c>
      <c r="AM41" s="117">
        <f t="shared" si="18"/>
        <v>125</v>
      </c>
      <c r="AN41" s="22">
        <f t="shared" si="19"/>
        <v>311250</v>
      </c>
      <c r="AO41" s="22">
        <f t="shared" si="20"/>
        <v>123750</v>
      </c>
      <c r="AP41" s="22">
        <f t="shared" si="21"/>
        <v>52912.500000000007</v>
      </c>
      <c r="AQ41" s="22">
        <f>AN41*Тарифы!$B$32</f>
        <v>4668.75</v>
      </c>
      <c r="AR41" s="22">
        <f>AK41*(Тарифы!$B$25+MAX(0,J41-5)*Тарифы!$B$26)</f>
        <v>62262</v>
      </c>
      <c r="AS41" s="22">
        <f>AK41*Тарифы!$B$27</f>
        <v>3375</v>
      </c>
      <c r="AT41" s="22">
        <f>BP41*J41*$C$48*'Затраты продавца'!$B$5</f>
        <v>68108.039999999994</v>
      </c>
      <c r="AU41" s="22">
        <f>AK41*('Затраты продавца'!$B$6+'Затраты продавца'!$B$7)</f>
        <v>9450</v>
      </c>
      <c r="AV41" s="22">
        <f>AK41*Тарифы!$B$24</f>
        <v>1350</v>
      </c>
      <c r="AW41" s="22">
        <f>AL41*((Тарифы!$B$25+MAX(0,J41-5)*Тарифы!$B$26)*Тарифы!$B$28+'Затраты продавца'!$B$9+(1-'Затраты продавца'!$B$10)*I41*$C$55)</f>
        <v>7097</v>
      </c>
      <c r="AX41" s="22">
        <f>AJ41*Тарифы!$B$29</f>
        <v>2400</v>
      </c>
      <c r="AY41" s="23">
        <f t="shared" si="22"/>
        <v>5.8212000000000002</v>
      </c>
      <c r="AZ41" s="117">
        <f t="shared" si="23"/>
        <v>0</v>
      </c>
      <c r="BA41" s="117">
        <f t="shared" si="24"/>
        <v>0</v>
      </c>
      <c r="BB41" s="22">
        <f t="shared" si="25"/>
        <v>0</v>
      </c>
      <c r="BC41" s="22">
        <f t="shared" si="26"/>
        <v>0</v>
      </c>
      <c r="BD41" s="22">
        <f t="shared" si="27"/>
        <v>0</v>
      </c>
      <c r="BE41" s="22">
        <f t="shared" si="28"/>
        <v>0</v>
      </c>
      <c r="BF41" s="22">
        <f t="shared" si="29"/>
        <v>0</v>
      </c>
      <c r="BG41" s="22">
        <f t="shared" si="30"/>
        <v>0</v>
      </c>
      <c r="BH41" s="22">
        <f t="shared" si="31"/>
        <v>0</v>
      </c>
      <c r="BI41" s="22">
        <f t="shared" si="32"/>
        <v>0</v>
      </c>
      <c r="BJ41" s="22">
        <f t="shared" si="33"/>
        <v>0</v>
      </c>
      <c r="BK41" s="22">
        <f t="shared" si="34"/>
        <v>0</v>
      </c>
      <c r="BL41" s="22">
        <f t="shared" si="35"/>
        <v>0</v>
      </c>
      <c r="BM41" s="22">
        <f t="shared" si="36"/>
        <v>0</v>
      </c>
      <c r="BN41" s="24">
        <f>Y41*I41*(1-'Затраты продавца'!$B$10)*$C$55</f>
        <v>1633.5000000000002</v>
      </c>
      <c r="BO41" s="118">
        <f t="shared" si="37"/>
        <v>351</v>
      </c>
      <c r="BP41" s="118">
        <f t="shared" si="38"/>
        <v>351</v>
      </c>
      <c r="BQ41" s="118">
        <f t="shared" si="39"/>
        <v>0</v>
      </c>
    </row>
    <row r="42" spans="1:69" ht="21" customHeight="1" x14ac:dyDescent="0.15">
      <c r="A42" s="3"/>
      <c r="B42" s="12" t="str">
        <f>HYPERLINK("#'SKU'!A39","SKU!39")</f>
        <v>SKU!39</v>
      </c>
      <c r="C42" s="12" t="str">
        <f>SKU!A39</f>
        <v>SM-0038</v>
      </c>
      <c r="D42" s="12" t="str">
        <f>SKU!B39</f>
        <v>Мяч футбольный (без накачки)</v>
      </c>
      <c r="E42" s="12" t="str">
        <f>SKU!C39</f>
        <v>Фитнес</v>
      </c>
      <c r="F42" s="12" t="str">
        <f>SKU!L39</f>
        <v>FBO</v>
      </c>
      <c r="G42" s="116">
        <f>SKU!K39*IF(SKU!L39="не представлен",$C$52,1)</f>
        <v>210</v>
      </c>
      <c r="H42" s="13">
        <f>SKU!D39</f>
        <v>1890</v>
      </c>
      <c r="I42" s="13">
        <f>SKU!E39</f>
        <v>690</v>
      </c>
      <c r="J42" s="14">
        <f>SKU!I39</f>
        <v>6.3479999999999999</v>
      </c>
      <c r="K42" s="15">
        <f>SKU!N39</f>
        <v>0.03</v>
      </c>
      <c r="L42" s="16">
        <f>IF(ISNUMBER(SKU!M39),SKU!M39,$C$53)</f>
        <v>73.412177068176007</v>
      </c>
      <c r="M42" s="15">
        <f t="shared" si="0"/>
        <v>0.15</v>
      </c>
      <c r="N42" s="15">
        <f t="shared" si="1"/>
        <v>0.14000000000000001</v>
      </c>
      <c r="O42" s="17">
        <f t="shared" si="2"/>
        <v>113831.14400000001</v>
      </c>
      <c r="P42" s="17">
        <f t="shared" si="3"/>
        <v>112449.85800000001</v>
      </c>
      <c r="Q42" s="18" t="str">
        <f t="shared" si="4"/>
        <v>FBO</v>
      </c>
      <c r="R42" s="19" t="s">
        <v>112</v>
      </c>
      <c r="S42" s="18" t="str">
        <f t="shared" si="5"/>
        <v>FBO</v>
      </c>
      <c r="T42" s="17">
        <f t="shared" si="6"/>
        <v>113831.14400000001</v>
      </c>
      <c r="U42" s="20">
        <f t="shared" si="7"/>
        <v>0</v>
      </c>
      <c r="V42" s="21">
        <f t="shared" si="8"/>
        <v>0</v>
      </c>
      <c r="W42" s="6"/>
      <c r="X42" s="117">
        <f t="shared" si="9"/>
        <v>217</v>
      </c>
      <c r="Y42" s="117">
        <f t="shared" si="10"/>
        <v>7</v>
      </c>
      <c r="Z42" s="22">
        <f t="shared" si="11"/>
        <v>396900</v>
      </c>
      <c r="AA42" s="22">
        <f t="shared" si="12"/>
        <v>144900</v>
      </c>
      <c r="AB42" s="22">
        <f t="shared" si="13"/>
        <v>59535</v>
      </c>
      <c r="AC42" s="22">
        <f>Z42*Тарифы!$B$32</f>
        <v>5953.5</v>
      </c>
      <c r="AD42" s="22">
        <f>X42*(Тарифы!$B$18+MAX(0,J42-5)*Тарифы!$B$19)</f>
        <v>20285.16</v>
      </c>
      <c r="AE42" s="22">
        <f>X42*Тарифы!$B$20</f>
        <v>5425</v>
      </c>
      <c r="AF42" s="22">
        <f>BO42*J42*$C$48*IF(E42="Крупногабарит",$C$68,Тарифы!$B$21)</f>
        <v>45591.336000000003</v>
      </c>
      <c r="AG42" s="22">
        <f>X42*J42*'Затраты продавца'!$B$12</f>
        <v>3443.79</v>
      </c>
      <c r="AH42" s="22">
        <f>Y42*(Тарифы!$B$18+MAX(0,J42-5)*Тарифы!$B$19)*Тарифы!$B$22</f>
        <v>654.36</v>
      </c>
      <c r="AI42" s="117">
        <f t="shared" si="14"/>
        <v>217</v>
      </c>
      <c r="AJ42" s="117">
        <f t="shared" si="15"/>
        <v>22</v>
      </c>
      <c r="AK42" s="117">
        <f t="shared" si="16"/>
        <v>195</v>
      </c>
      <c r="AL42" s="117">
        <f t="shared" si="17"/>
        <v>6</v>
      </c>
      <c r="AM42" s="117">
        <f t="shared" si="18"/>
        <v>189</v>
      </c>
      <c r="AN42" s="22">
        <f t="shared" si="19"/>
        <v>357210</v>
      </c>
      <c r="AO42" s="22">
        <f t="shared" si="20"/>
        <v>130410</v>
      </c>
      <c r="AP42" s="22">
        <f t="shared" si="21"/>
        <v>50009.4</v>
      </c>
      <c r="AQ42" s="22">
        <f>AN42*Тарифы!$B$32</f>
        <v>5358.15</v>
      </c>
      <c r="AR42" s="22">
        <f>AK42*(Тарифы!$B$25+MAX(0,J42-5)*Тарифы!$B$26)</f>
        <v>18228.600000000002</v>
      </c>
      <c r="AS42" s="22">
        <f>AK42*Тарифы!$B$27</f>
        <v>4875</v>
      </c>
      <c r="AT42" s="22">
        <f>BP42*J42*$C$48*'Затраты продавца'!$B$5</f>
        <v>15197.111999999999</v>
      </c>
      <c r="AU42" s="22">
        <f>AK42*('Затраты продавца'!$B$6+'Затраты продавца'!$B$7)</f>
        <v>13650</v>
      </c>
      <c r="AV42" s="22">
        <f>AK42*Тарифы!$B$24</f>
        <v>1950</v>
      </c>
      <c r="AW42" s="22">
        <f>AL42*((Тарифы!$B$25+MAX(0,J42-5)*Тарифы!$B$26)*Тарифы!$B$28+'Затраты продавца'!$B$9+(1-'Затраты продавца'!$B$10)*I42*$C$55)</f>
        <v>1781.88</v>
      </c>
      <c r="AX42" s="22">
        <f>AJ42*Тарифы!$B$29</f>
        <v>3300</v>
      </c>
      <c r="AY42" s="23">
        <f t="shared" si="22"/>
        <v>1.23786</v>
      </c>
      <c r="AZ42" s="117">
        <f t="shared" si="23"/>
        <v>210</v>
      </c>
      <c r="BA42" s="117">
        <f t="shared" si="24"/>
        <v>217</v>
      </c>
      <c r="BB42" s="22">
        <f t="shared" si="25"/>
        <v>396900</v>
      </c>
      <c r="BC42" s="22">
        <f t="shared" si="26"/>
        <v>144900</v>
      </c>
      <c r="BD42" s="22">
        <f t="shared" si="27"/>
        <v>59535</v>
      </c>
      <c r="BE42" s="22">
        <f t="shared" si="28"/>
        <v>5953.5</v>
      </c>
      <c r="BF42" s="22">
        <f t="shared" si="29"/>
        <v>20285.16</v>
      </c>
      <c r="BG42" s="22">
        <f t="shared" si="30"/>
        <v>5425</v>
      </c>
      <c r="BH42" s="22">
        <f t="shared" si="31"/>
        <v>45591.336000000003</v>
      </c>
      <c r="BI42" s="22">
        <f t="shared" si="32"/>
        <v>3443.79</v>
      </c>
      <c r="BJ42" s="22">
        <f t="shared" si="33"/>
        <v>0</v>
      </c>
      <c r="BK42" s="22">
        <f t="shared" si="34"/>
        <v>0</v>
      </c>
      <c r="BL42" s="22">
        <f t="shared" si="35"/>
        <v>654.36</v>
      </c>
      <c r="BM42" s="22">
        <f t="shared" si="36"/>
        <v>0</v>
      </c>
      <c r="BN42" s="24">
        <f>Y42*I42*(1-'Затраты продавца'!$B$10)*$C$55</f>
        <v>724.50000000000011</v>
      </c>
      <c r="BO42" s="118">
        <f t="shared" si="37"/>
        <v>532</v>
      </c>
      <c r="BP42" s="118">
        <f t="shared" si="38"/>
        <v>532</v>
      </c>
      <c r="BQ42" s="118">
        <f t="shared" si="39"/>
        <v>532</v>
      </c>
    </row>
    <row r="43" spans="1:69" ht="21" customHeight="1" x14ac:dyDescent="0.15">
      <c r="A43" s="3"/>
      <c r="B43" s="12" t="str">
        <f>HYPERLINK("#'SKU'!A40","SKU!40")</f>
        <v>SKU!40</v>
      </c>
      <c r="C43" s="12" t="str">
        <f>SKU!A40</f>
        <v>SM-0039</v>
      </c>
      <c r="D43" s="12" t="str">
        <f>SKU!B40</f>
        <v>Мяч баскетбольный</v>
      </c>
      <c r="E43" s="12" t="str">
        <f>SKU!C40</f>
        <v>Фитнес</v>
      </c>
      <c r="F43" s="12" t="str">
        <f>SKU!L40</f>
        <v>FBO</v>
      </c>
      <c r="G43" s="116">
        <f>SKU!K40*IF(SKU!L40="не представлен",$C$52,1)</f>
        <v>130</v>
      </c>
      <c r="H43" s="13">
        <f>SKU!D40</f>
        <v>2190</v>
      </c>
      <c r="I43" s="13">
        <f>SKU!E40</f>
        <v>830</v>
      </c>
      <c r="J43" s="14">
        <f>SKU!I40</f>
        <v>8.125</v>
      </c>
      <c r="K43" s="15">
        <f>SKU!N40</f>
        <v>0.04</v>
      </c>
      <c r="L43" s="16">
        <f>IF(ISNUMBER(SKU!M40),SKU!M40,$C$53)</f>
        <v>102.70632640284499</v>
      </c>
      <c r="M43" s="15">
        <f t="shared" si="0"/>
        <v>0.15</v>
      </c>
      <c r="N43" s="15">
        <f t="shared" si="1"/>
        <v>0.14000000000000001</v>
      </c>
      <c r="O43" s="17">
        <f t="shared" si="2"/>
        <v>58765.625</v>
      </c>
      <c r="P43" s="17">
        <f t="shared" si="3"/>
        <v>72204.974999999977</v>
      </c>
      <c r="Q43" s="18" t="str">
        <f t="shared" si="4"/>
        <v>FBS</v>
      </c>
      <c r="R43" s="19" t="s">
        <v>112</v>
      </c>
      <c r="S43" s="18" t="str">
        <f t="shared" si="5"/>
        <v>FBS</v>
      </c>
      <c r="T43" s="17">
        <f t="shared" si="6"/>
        <v>72204.974999999977</v>
      </c>
      <c r="U43" s="20">
        <f t="shared" si="7"/>
        <v>122</v>
      </c>
      <c r="V43" s="21">
        <f t="shared" si="8"/>
        <v>0.99124999999999996</v>
      </c>
      <c r="W43" s="6"/>
      <c r="X43" s="117">
        <f t="shared" si="9"/>
        <v>136</v>
      </c>
      <c r="Y43" s="117">
        <f t="shared" si="10"/>
        <v>6</v>
      </c>
      <c r="Z43" s="22">
        <f t="shared" si="11"/>
        <v>284700</v>
      </c>
      <c r="AA43" s="22">
        <f t="shared" si="12"/>
        <v>107900</v>
      </c>
      <c r="AB43" s="22">
        <f t="shared" si="13"/>
        <v>42705</v>
      </c>
      <c r="AC43" s="22">
        <f>Z43*Тарифы!$B$32</f>
        <v>4270.5</v>
      </c>
      <c r="AD43" s="22">
        <f>X43*(Тарифы!$B$18+MAX(0,J43-5)*Тарифы!$B$19)</f>
        <v>15130</v>
      </c>
      <c r="AE43" s="22">
        <f>X43*Тарифы!$B$20</f>
        <v>3400</v>
      </c>
      <c r="AF43" s="22">
        <f>BO43*J43*$C$48*IF(E43="Крупногабарит",$C$68,Тарифы!$B$21)</f>
        <v>51114.375</v>
      </c>
      <c r="AG43" s="22">
        <f>X43*J43*'Затраты продавца'!$B$12</f>
        <v>2762.5</v>
      </c>
      <c r="AH43" s="22">
        <f>Y43*(Тарифы!$B$18+MAX(0,J43-5)*Тарифы!$B$19)*Тарифы!$B$22</f>
        <v>667.5</v>
      </c>
      <c r="AI43" s="117">
        <f t="shared" si="14"/>
        <v>136</v>
      </c>
      <c r="AJ43" s="117">
        <f t="shared" si="15"/>
        <v>14</v>
      </c>
      <c r="AK43" s="117">
        <f t="shared" si="16"/>
        <v>122</v>
      </c>
      <c r="AL43" s="117">
        <f t="shared" si="17"/>
        <v>5</v>
      </c>
      <c r="AM43" s="117">
        <f t="shared" si="18"/>
        <v>117</v>
      </c>
      <c r="AN43" s="22">
        <f t="shared" si="19"/>
        <v>256230</v>
      </c>
      <c r="AO43" s="22">
        <f t="shared" si="20"/>
        <v>97110</v>
      </c>
      <c r="AP43" s="22">
        <f t="shared" si="21"/>
        <v>35872.200000000004</v>
      </c>
      <c r="AQ43" s="22">
        <f>AN43*Тарифы!$B$32</f>
        <v>3843.45</v>
      </c>
      <c r="AR43" s="22">
        <f>AK43*(Тарифы!$B$25+MAX(0,J43-5)*Тарифы!$B$26)</f>
        <v>13572.5</v>
      </c>
      <c r="AS43" s="22">
        <f>AK43*Тарифы!$B$27</f>
        <v>3050</v>
      </c>
      <c r="AT43" s="22">
        <f>BP43*J43*$C$48*'Затраты продавца'!$B$5</f>
        <v>17038.125</v>
      </c>
      <c r="AU43" s="22">
        <f>AK43*('Затраты продавца'!$B$6+'Затраты продавца'!$B$7)</f>
        <v>8540</v>
      </c>
      <c r="AV43" s="22">
        <f>AK43*Тарифы!$B$24</f>
        <v>1220</v>
      </c>
      <c r="AW43" s="22">
        <f>AL43*((Тарифы!$B$25+MAX(0,J43-5)*Тарифы!$B$26)*Тарифы!$B$28+'Затраты продавца'!$B$9+(1-'Затраты продавца'!$B$10)*I43*$C$55)</f>
        <v>1678.75</v>
      </c>
      <c r="AX43" s="22">
        <f>AJ43*Тарифы!$B$29</f>
        <v>2100</v>
      </c>
      <c r="AY43" s="23">
        <f t="shared" si="22"/>
        <v>0.99124999999999996</v>
      </c>
      <c r="AZ43" s="117">
        <f t="shared" si="23"/>
        <v>117</v>
      </c>
      <c r="BA43" s="117">
        <f t="shared" si="24"/>
        <v>122</v>
      </c>
      <c r="BB43" s="22">
        <f t="shared" si="25"/>
        <v>256230</v>
      </c>
      <c r="BC43" s="22">
        <f t="shared" si="26"/>
        <v>97110</v>
      </c>
      <c r="BD43" s="22">
        <f t="shared" si="27"/>
        <v>35872.200000000004</v>
      </c>
      <c r="BE43" s="22">
        <f t="shared" si="28"/>
        <v>3843.45</v>
      </c>
      <c r="BF43" s="22">
        <f t="shared" si="29"/>
        <v>13572.5</v>
      </c>
      <c r="BG43" s="22">
        <f t="shared" si="30"/>
        <v>3050</v>
      </c>
      <c r="BH43" s="22">
        <f t="shared" si="31"/>
        <v>17038.125</v>
      </c>
      <c r="BI43" s="22">
        <f t="shared" si="32"/>
        <v>0</v>
      </c>
      <c r="BJ43" s="22">
        <f t="shared" si="33"/>
        <v>8540</v>
      </c>
      <c r="BK43" s="22">
        <f t="shared" si="34"/>
        <v>1220</v>
      </c>
      <c r="BL43" s="22">
        <f t="shared" si="35"/>
        <v>1678.75</v>
      </c>
      <c r="BM43" s="22">
        <f t="shared" si="36"/>
        <v>2100</v>
      </c>
      <c r="BN43" s="24">
        <f>Y43*I43*(1-'Затраты продавца'!$B$10)*$C$55</f>
        <v>747.00000000000011</v>
      </c>
      <c r="BO43" s="118">
        <f t="shared" si="37"/>
        <v>466</v>
      </c>
      <c r="BP43" s="118">
        <f t="shared" si="38"/>
        <v>466</v>
      </c>
      <c r="BQ43" s="118">
        <f t="shared" si="39"/>
        <v>466</v>
      </c>
    </row>
    <row r="44" spans="1:69" ht="21" customHeight="1" x14ac:dyDescent="0.15">
      <c r="A44" s="3"/>
      <c r="B44" s="12" t="str">
        <f>HYPERLINK("#'SKU'!A41","SKU!41")</f>
        <v>SKU!41</v>
      </c>
      <c r="C44" s="12" t="str">
        <f>SKU!A41</f>
        <v>SM-0040</v>
      </c>
      <c r="D44" s="12" t="str">
        <f>SKU!B41</f>
        <v>Ролики раздвижные р. 38–41</v>
      </c>
      <c r="E44" s="12" t="str">
        <f>SKU!C41</f>
        <v>Обувь</v>
      </c>
      <c r="F44" s="12" t="str">
        <f>SKU!L41</f>
        <v>FBO</v>
      </c>
      <c r="G44" s="116">
        <f>SKU!K41*IF(SKU!L41="не представлен",$C$52,1)</f>
        <v>45</v>
      </c>
      <c r="H44" s="13">
        <f>SKU!D41</f>
        <v>6990</v>
      </c>
      <c r="I44" s="13">
        <f>SKU!E41</f>
        <v>3250</v>
      </c>
      <c r="J44" s="14">
        <f>SKU!I41</f>
        <v>16.8</v>
      </c>
      <c r="K44" s="15">
        <f>SKU!N41</f>
        <v>0.11</v>
      </c>
      <c r="L44" s="16">
        <f>IF(ISNUMBER(SKU!M41),SKU!M41,$C$53)</f>
        <v>97.917270442629103</v>
      </c>
      <c r="M44" s="15">
        <f t="shared" si="0"/>
        <v>0.16</v>
      </c>
      <c r="N44" s="15">
        <f t="shared" si="1"/>
        <v>0.15</v>
      </c>
      <c r="O44" s="17">
        <f t="shared" si="2"/>
        <v>59892.149999999994</v>
      </c>
      <c r="P44" s="17">
        <f t="shared" si="3"/>
        <v>72378.299999999988</v>
      </c>
      <c r="Q44" s="18" t="str">
        <f t="shared" si="4"/>
        <v>FBS</v>
      </c>
      <c r="R44" s="19" t="s">
        <v>112</v>
      </c>
      <c r="S44" s="18" t="str">
        <f t="shared" si="5"/>
        <v>FBS</v>
      </c>
      <c r="T44" s="17">
        <f t="shared" si="6"/>
        <v>72378.299999999988</v>
      </c>
      <c r="U44" s="20">
        <f t="shared" si="7"/>
        <v>45</v>
      </c>
      <c r="V44" s="21">
        <f t="shared" si="8"/>
        <v>0.75600000000000001</v>
      </c>
      <c r="W44" s="6"/>
      <c r="X44" s="117">
        <f t="shared" si="9"/>
        <v>51</v>
      </c>
      <c r="Y44" s="117">
        <f t="shared" si="10"/>
        <v>6</v>
      </c>
      <c r="Z44" s="22">
        <f t="shared" si="11"/>
        <v>314550</v>
      </c>
      <c r="AA44" s="22">
        <f t="shared" si="12"/>
        <v>146250</v>
      </c>
      <c r="AB44" s="22">
        <f t="shared" si="13"/>
        <v>50328</v>
      </c>
      <c r="AC44" s="22">
        <f>Z44*Тарифы!$B$32</f>
        <v>4718.25</v>
      </c>
      <c r="AD44" s="22">
        <f>X44*(Тарифы!$B$18+MAX(0,J44-5)*Тарифы!$B$19)</f>
        <v>10098</v>
      </c>
      <c r="AE44" s="22">
        <f>X44*Тарифы!$B$20</f>
        <v>1275</v>
      </c>
      <c r="AF44" s="22">
        <f>BO44*J44*$C$48*IF(E44="Крупногабарит",$C$68,Тарифы!$B$21)</f>
        <v>37875.599999999999</v>
      </c>
      <c r="AG44" s="22">
        <f>X44*J44*'Затраты продавца'!$B$12</f>
        <v>2142</v>
      </c>
      <c r="AH44" s="22">
        <f>Y44*(Тарифы!$B$18+MAX(0,J44-5)*Тарифы!$B$19)*Тарифы!$B$22</f>
        <v>1188</v>
      </c>
      <c r="AI44" s="117">
        <f t="shared" si="14"/>
        <v>51</v>
      </c>
      <c r="AJ44" s="117">
        <f t="shared" si="15"/>
        <v>6</v>
      </c>
      <c r="AK44" s="117">
        <f t="shared" si="16"/>
        <v>45</v>
      </c>
      <c r="AL44" s="117">
        <f t="shared" si="17"/>
        <v>5</v>
      </c>
      <c r="AM44" s="117">
        <f t="shared" si="18"/>
        <v>40</v>
      </c>
      <c r="AN44" s="22">
        <f t="shared" si="19"/>
        <v>279600</v>
      </c>
      <c r="AO44" s="22">
        <f t="shared" si="20"/>
        <v>130000</v>
      </c>
      <c r="AP44" s="22">
        <f t="shared" si="21"/>
        <v>41940</v>
      </c>
      <c r="AQ44" s="22">
        <f>AN44*Тарифы!$B$32</f>
        <v>4194</v>
      </c>
      <c r="AR44" s="22">
        <f>AK44*(Тарифы!$B$25+MAX(0,J44-5)*Тарифы!$B$26)</f>
        <v>8910</v>
      </c>
      <c r="AS44" s="22">
        <f>AK44*Тарифы!$B$27</f>
        <v>1125</v>
      </c>
      <c r="AT44" s="22">
        <f>BP44*J44*$C$48*'Затраты продавца'!$B$5</f>
        <v>12625.199999999999</v>
      </c>
      <c r="AU44" s="22">
        <f>AK44*('Затраты продавца'!$B$6+'Затраты продавца'!$B$7)</f>
        <v>3150</v>
      </c>
      <c r="AV44" s="22">
        <f>AK44*Тарифы!$B$24</f>
        <v>450</v>
      </c>
      <c r="AW44" s="22">
        <f>AL44*((Тарифы!$B$25+MAX(0,J44-5)*Тарифы!$B$26)*Тарифы!$B$28+'Затраты продавца'!$B$9+(1-'Затраты продавца'!$B$10)*I44*$C$55)</f>
        <v>3927.5</v>
      </c>
      <c r="AX44" s="22">
        <f>AJ44*Тарифы!$B$29</f>
        <v>900</v>
      </c>
      <c r="AY44" s="23">
        <f t="shared" si="22"/>
        <v>0.75600000000000001</v>
      </c>
      <c r="AZ44" s="117">
        <f t="shared" si="23"/>
        <v>40</v>
      </c>
      <c r="BA44" s="117">
        <f t="shared" si="24"/>
        <v>45</v>
      </c>
      <c r="BB44" s="22">
        <f t="shared" si="25"/>
        <v>279600</v>
      </c>
      <c r="BC44" s="22">
        <f t="shared" si="26"/>
        <v>130000</v>
      </c>
      <c r="BD44" s="22">
        <f t="shared" si="27"/>
        <v>41940</v>
      </c>
      <c r="BE44" s="22">
        <f t="shared" si="28"/>
        <v>4194</v>
      </c>
      <c r="BF44" s="22">
        <f t="shared" si="29"/>
        <v>8910</v>
      </c>
      <c r="BG44" s="22">
        <f t="shared" si="30"/>
        <v>1125</v>
      </c>
      <c r="BH44" s="22">
        <f t="shared" si="31"/>
        <v>12625.199999999999</v>
      </c>
      <c r="BI44" s="22">
        <f t="shared" si="32"/>
        <v>0</v>
      </c>
      <c r="BJ44" s="22">
        <f t="shared" si="33"/>
        <v>3150</v>
      </c>
      <c r="BK44" s="22">
        <f t="shared" si="34"/>
        <v>450</v>
      </c>
      <c r="BL44" s="22">
        <f t="shared" si="35"/>
        <v>3927.5</v>
      </c>
      <c r="BM44" s="22">
        <f t="shared" si="36"/>
        <v>900</v>
      </c>
      <c r="BN44" s="24">
        <f>Y44*I44*(1-'Затраты продавца'!$B$10)*$C$55</f>
        <v>2925.0000000000005</v>
      </c>
      <c r="BO44" s="118">
        <f t="shared" si="37"/>
        <v>167</v>
      </c>
      <c r="BP44" s="118">
        <f t="shared" si="38"/>
        <v>167</v>
      </c>
      <c r="BQ44" s="118">
        <f t="shared" si="39"/>
        <v>167</v>
      </c>
    </row>
    <row r="45" spans="1:69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</row>
    <row r="46" spans="1:69" ht="28" customHeight="1" x14ac:dyDescent="0.15">
      <c r="A46" s="3"/>
      <c r="B46" s="181" t="s">
        <v>113</v>
      </c>
      <c r="C46" s="181"/>
      <c r="D46" s="181"/>
      <c r="E46" s="181"/>
      <c r="F46" s="27"/>
      <c r="G46" s="27"/>
      <c r="H46" s="27"/>
      <c r="I46" s="27"/>
      <c r="J46" s="2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</row>
    <row r="47" spans="1:69" ht="17" x14ac:dyDescent="0.15">
      <c r="A47" s="3"/>
      <c r="B47" s="28" t="s">
        <v>114</v>
      </c>
      <c r="C47" s="29" t="s">
        <v>115</v>
      </c>
      <c r="D47" s="30" t="s">
        <v>116</v>
      </c>
      <c r="E47" s="28" t="s">
        <v>117</v>
      </c>
      <c r="F47" s="2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</row>
    <row r="48" spans="1:69" ht="34" x14ac:dyDescent="0.15">
      <c r="A48" s="3"/>
      <c r="B48" s="31" t="s">
        <v>118</v>
      </c>
      <c r="C48" s="32">
        <v>30</v>
      </c>
      <c r="D48" s="33" t="s">
        <v>119</v>
      </c>
      <c r="E48" s="34" t="s">
        <v>120</v>
      </c>
      <c r="F48" s="2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</row>
    <row r="49" spans="1:65" ht="34" x14ac:dyDescent="0.15">
      <c r="A49" s="3"/>
      <c r="B49" s="31" t="s">
        <v>121</v>
      </c>
      <c r="C49" s="35">
        <v>1</v>
      </c>
      <c r="D49" s="33" t="s">
        <v>122</v>
      </c>
      <c r="E49" s="34" t="s">
        <v>123</v>
      </c>
      <c r="F49" s="3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</row>
    <row r="50" spans="1:65" ht="51" x14ac:dyDescent="0.15">
      <c r="A50" s="3"/>
      <c r="B50" s="31" t="s">
        <v>124</v>
      </c>
      <c r="C50" s="112">
        <v>0.1</v>
      </c>
      <c r="D50" s="34" t="s">
        <v>125</v>
      </c>
      <c r="E50" s="34" t="s">
        <v>126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</row>
    <row r="51" spans="1:65" ht="17" x14ac:dyDescent="0.15">
      <c r="A51" s="3"/>
      <c r="B51" s="38" t="s">
        <v>127</v>
      </c>
      <c r="C51" s="39">
        <v>0</v>
      </c>
      <c r="D51" s="40" t="s">
        <v>128</v>
      </c>
      <c r="E51" s="40" t="s">
        <v>123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</row>
    <row r="52" spans="1:65" ht="34" x14ac:dyDescent="0.15">
      <c r="A52" s="3"/>
      <c r="B52" s="41" t="s">
        <v>129</v>
      </c>
      <c r="C52" s="42">
        <v>1</v>
      </c>
      <c r="D52" s="43" t="s">
        <v>122</v>
      </c>
      <c r="E52" s="44" t="str">
        <f>HYPERLINK("#'SKU'!K22","SKU!K22:K33")</f>
        <v>SKU!K22:K33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</row>
    <row r="53" spans="1:65" ht="17" x14ac:dyDescent="0.15">
      <c r="A53" s="3"/>
      <c r="B53" s="31" t="s">
        <v>130</v>
      </c>
      <c r="C53" s="45">
        <f>AVERAGE(SKU!M2:M41)</f>
        <v>75.361847430061744</v>
      </c>
      <c r="D53" s="34" t="s">
        <v>119</v>
      </c>
      <c r="E53" s="46" t="str">
        <f>HYPERLINK("#'SKU'!M2","SKU!M2:M41")</f>
        <v>SKU!M2:M41</v>
      </c>
      <c r="F53" s="2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</row>
    <row r="54" spans="1:65" ht="34" x14ac:dyDescent="0.15">
      <c r="A54" s="3"/>
      <c r="B54" s="31" t="s">
        <v>131</v>
      </c>
      <c r="C54" s="37">
        <v>1</v>
      </c>
      <c r="D54" s="34" t="s">
        <v>122</v>
      </c>
      <c r="E54" s="34" t="s">
        <v>132</v>
      </c>
      <c r="F54" s="27"/>
      <c r="H54" s="36"/>
      <c r="I54" s="36"/>
      <c r="J54" s="3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</row>
    <row r="55" spans="1:65" ht="34" x14ac:dyDescent="0.15">
      <c r="A55" s="3"/>
      <c r="B55" s="38" t="s">
        <v>133</v>
      </c>
      <c r="C55" s="39">
        <v>1</v>
      </c>
      <c r="D55" s="40" t="s">
        <v>134</v>
      </c>
      <c r="E55" s="40" t="s">
        <v>135</v>
      </c>
      <c r="F55" s="2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</row>
    <row r="56" spans="1:65" ht="9" customHeight="1" x14ac:dyDescent="0.2">
      <c r="A56" s="3"/>
      <c r="B56" s="47"/>
      <c r="C56" s="47"/>
      <c r="D56" s="47"/>
      <c r="E56" s="47"/>
      <c r="F56" s="3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</row>
    <row r="57" spans="1:65" ht="34" x14ac:dyDescent="0.15">
      <c r="A57" s="3"/>
      <c r="B57" s="48" t="s">
        <v>49</v>
      </c>
      <c r="C57" s="48" t="s">
        <v>57</v>
      </c>
      <c r="D57" s="48" t="s">
        <v>58</v>
      </c>
      <c r="E57" s="48" t="s">
        <v>46</v>
      </c>
      <c r="F57" s="3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</row>
    <row r="58" spans="1:65" ht="17" x14ac:dyDescent="0.15">
      <c r="A58" s="3"/>
      <c r="B58" s="31" t="s">
        <v>136</v>
      </c>
      <c r="C58" s="49">
        <f>Тарифы!B5</f>
        <v>0.16</v>
      </c>
      <c r="D58" s="49">
        <f>Тарифы!B6</f>
        <v>0.15</v>
      </c>
      <c r="E58" s="46" t="str">
        <f>HYPERLINK("#'Тарифы'!B5","Тарифы!B5:B6")</f>
        <v>Тарифы!B5:B6</v>
      </c>
      <c r="F58" s="3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</row>
    <row r="59" spans="1:65" ht="17" x14ac:dyDescent="0.15">
      <c r="A59" s="3"/>
      <c r="B59" s="41" t="s">
        <v>137</v>
      </c>
      <c r="C59" s="50">
        <f>Тарифы!B7</f>
        <v>0.17</v>
      </c>
      <c r="D59" s="50">
        <f>Тарифы!B8</f>
        <v>0.16</v>
      </c>
      <c r="E59" s="44" t="str">
        <f>HYPERLINK("#'Тарифы'!B7","Тарифы!B7:B8")</f>
        <v>Тарифы!B7:B8</v>
      </c>
      <c r="F59" s="3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</row>
    <row r="60" spans="1:65" ht="17" x14ac:dyDescent="0.15">
      <c r="A60" s="3"/>
      <c r="B60" s="31" t="s">
        <v>138</v>
      </c>
      <c r="C60" s="49">
        <f>Тарифы!B9</f>
        <v>0.15</v>
      </c>
      <c r="D60" s="49">
        <f>Тарифы!B10</f>
        <v>0.14000000000000001</v>
      </c>
      <c r="E60" s="46" t="str">
        <f>HYPERLINK("#'Тарифы'!B9","Тарифы!B9:B10")</f>
        <v>Тарифы!B9:B10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</row>
    <row r="61" spans="1:65" ht="17" x14ac:dyDescent="0.15">
      <c r="A61" s="3"/>
      <c r="B61" s="41" t="s">
        <v>139</v>
      </c>
      <c r="C61" s="50">
        <f>Тарифы!B11</f>
        <v>0.15</v>
      </c>
      <c r="D61" s="50">
        <f>Тарифы!B12</f>
        <v>0.14000000000000001</v>
      </c>
      <c r="E61" s="44" t="str">
        <f>HYPERLINK("#'Тарифы'!B11","Тарифы!B11:B12")</f>
        <v>Тарифы!B11:B12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</row>
    <row r="62" spans="1:65" ht="17" x14ac:dyDescent="0.15">
      <c r="B62" s="31" t="s">
        <v>140</v>
      </c>
      <c r="C62" s="49">
        <f>Тарифы!B13</f>
        <v>0.12</v>
      </c>
      <c r="D62" s="49">
        <f>Тарифы!B14</f>
        <v>0.11</v>
      </c>
      <c r="E62" s="46" t="str">
        <f>HYPERLINK("#'Тарифы'!B13","Тарифы!B13:B14")</f>
        <v>Тарифы!B13:B14</v>
      </c>
    </row>
    <row r="63" spans="1:65" ht="17" x14ac:dyDescent="0.15">
      <c r="B63" s="38" t="s">
        <v>141</v>
      </c>
      <c r="C63" s="51">
        <f>Тарифы!B15</f>
        <v>0.18</v>
      </c>
      <c r="D63" s="51">
        <f>Тарифы!B16</f>
        <v>0.17</v>
      </c>
      <c r="E63" s="52" t="str">
        <f>HYPERLINK("#'Тарифы'!B15","Тарифы!B15:B16")</f>
        <v>Тарифы!B15:B16</v>
      </c>
    </row>
    <row r="64" spans="1:65" ht="9" customHeight="1" x14ac:dyDescent="0.2">
      <c r="B64" s="47"/>
      <c r="C64" s="47"/>
      <c r="D64" s="47"/>
      <c r="E64" s="47"/>
    </row>
    <row r="65" spans="2:5" ht="17" x14ac:dyDescent="0.15">
      <c r="B65" s="53" t="s">
        <v>142</v>
      </c>
      <c r="C65" s="48" t="s">
        <v>115</v>
      </c>
      <c r="D65" s="48" t="s">
        <v>116</v>
      </c>
      <c r="E65" s="54" t="s">
        <v>46</v>
      </c>
    </row>
    <row r="66" spans="2:5" ht="34" x14ac:dyDescent="0.15">
      <c r="B66" s="55" t="s">
        <v>143</v>
      </c>
      <c r="C66" s="56">
        <v>250</v>
      </c>
      <c r="D66" s="34" t="s">
        <v>144</v>
      </c>
      <c r="E66" s="57" t="str">
        <f>HYPERLINK("#'Затраты продавца'!B8","Затраты продавца!B8")</f>
        <v>Затраты продавца!B8</v>
      </c>
    </row>
    <row r="67" spans="2:5" ht="17" x14ac:dyDescent="0.15">
      <c r="B67" s="55" t="s">
        <v>145</v>
      </c>
      <c r="C67" s="56">
        <v>6</v>
      </c>
      <c r="D67" s="34" t="s">
        <v>146</v>
      </c>
      <c r="E67" s="57" t="str">
        <f>HYPERLINK("#'Затраты продавца'!B8","Затраты продавца!B8")</f>
        <v>Затраты продавца!B8</v>
      </c>
    </row>
    <row r="68" spans="2:5" ht="17" x14ac:dyDescent="0.15">
      <c r="B68" s="55" t="s">
        <v>147</v>
      </c>
      <c r="C68" s="58">
        <v>0.5</v>
      </c>
      <c r="D68" s="34" t="s">
        <v>148</v>
      </c>
      <c r="E68" s="57" t="str">
        <f>HYPERLINK("#'Тарифы'!D21","Тарифы!D21")</f>
        <v>Тарифы!D21</v>
      </c>
    </row>
  </sheetData>
  <mergeCells count="1">
    <mergeCell ref="B46:E46"/>
  </mergeCells>
  <dataValidations count="1">
    <dataValidation type="list" sqref="R5:R44" xr:uid="{00000000-0002-0000-0100-000000000000}">
      <formula1>"Авто,FBO,FBS,Пауза"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showGridLines="0" workbookViewId="0"/>
  </sheetViews>
  <sheetFormatPr baseColWidth="10" defaultColWidth="8.6640625" defaultRowHeight="13" x14ac:dyDescent="0.15"/>
  <cols>
    <col min="1" max="1" width="3" customWidth="1"/>
    <col min="2" max="2" width="28" customWidth="1"/>
    <col min="3" max="3" width="21.83203125" customWidth="1"/>
    <col min="4" max="4" width="18" customWidth="1"/>
    <col min="5" max="5" width="16" customWidth="1"/>
    <col min="6" max="6" width="18" customWidth="1"/>
    <col min="7" max="18" width="15" customWidth="1"/>
  </cols>
  <sheetData>
    <row r="1" spans="1:18" ht="28" customHeight="1" x14ac:dyDescent="0.1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59"/>
    </row>
    <row r="2" spans="1:18" ht="34" customHeight="1" x14ac:dyDescent="0.15">
      <c r="A2" s="59"/>
      <c r="B2" s="182" t="s">
        <v>149</v>
      </c>
      <c r="C2" s="182"/>
      <c r="D2" s="182"/>
      <c r="E2" s="182"/>
      <c r="F2" s="182"/>
      <c r="G2" s="182"/>
      <c r="H2" s="182"/>
      <c r="I2" s="182"/>
      <c r="J2" s="182"/>
      <c r="K2" s="182"/>
      <c r="L2" s="61"/>
      <c r="M2" s="61"/>
      <c r="N2" s="61"/>
      <c r="O2" s="61"/>
      <c r="P2" s="61"/>
      <c r="Q2" s="61"/>
      <c r="R2" s="59"/>
    </row>
    <row r="3" spans="1:18" ht="28" customHeight="1" x14ac:dyDescent="0.15">
      <c r="A3" s="59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9"/>
    </row>
    <row r="4" spans="1:18" ht="28" customHeight="1" x14ac:dyDescent="0.15">
      <c r="A4" s="59"/>
      <c r="B4" s="183" t="s">
        <v>150</v>
      </c>
      <c r="C4" s="183"/>
      <c r="D4" s="183"/>
      <c r="E4" s="61"/>
      <c r="F4" s="190" t="s">
        <v>151</v>
      </c>
      <c r="G4" s="191"/>
      <c r="H4" s="191"/>
      <c r="I4" s="192"/>
      <c r="K4" s="189" t="s">
        <v>152</v>
      </c>
      <c r="L4" s="189"/>
      <c r="M4" s="189"/>
      <c r="N4" s="189"/>
      <c r="O4" s="61"/>
      <c r="P4" s="61"/>
      <c r="Q4" s="61"/>
      <c r="R4" s="59"/>
    </row>
    <row r="5" spans="1:18" ht="28" customHeight="1" x14ac:dyDescent="0.15">
      <c r="A5" s="59"/>
      <c r="B5" s="184" t="s">
        <v>153</v>
      </c>
      <c r="C5" s="184"/>
      <c r="D5" s="156">
        <v>0</v>
      </c>
      <c r="E5" s="61"/>
      <c r="F5" s="101" t="s">
        <v>154</v>
      </c>
      <c r="G5" s="101" t="s">
        <v>155</v>
      </c>
      <c r="H5" s="101" t="s">
        <v>116</v>
      </c>
      <c r="I5" s="101" t="s">
        <v>46</v>
      </c>
      <c r="K5" s="2" t="s">
        <v>156</v>
      </c>
      <c r="L5" s="2" t="s">
        <v>115</v>
      </c>
      <c r="M5" s="2" t="s">
        <v>116</v>
      </c>
      <c r="N5" s="2" t="s">
        <v>46</v>
      </c>
      <c r="O5" s="61"/>
      <c r="P5" s="61"/>
      <c r="Q5" s="61"/>
      <c r="R5" s="59"/>
    </row>
    <row r="6" spans="1:18" ht="42" customHeight="1" x14ac:dyDescent="0.15">
      <c r="A6" s="59"/>
      <c r="B6" s="184" t="s">
        <v>157</v>
      </c>
      <c r="C6" s="184"/>
      <c r="D6" s="62">
        <f>SUM(Модель!$U$5:$U$44)</f>
        <v>1175</v>
      </c>
      <c r="E6" s="61"/>
      <c r="F6" s="102" t="s">
        <v>158</v>
      </c>
      <c r="G6" s="103">
        <v>5</v>
      </c>
      <c r="H6" s="102" t="s">
        <v>159</v>
      </c>
      <c r="I6" s="102" t="str">
        <f>HYPERLINK("https://fulllog.ru/prices","Fulllog")</f>
        <v>Fulllog</v>
      </c>
      <c r="K6" s="1" t="s">
        <v>160</v>
      </c>
      <c r="L6" s="111">
        <v>1.25</v>
      </c>
      <c r="M6" s="1" t="s">
        <v>161</v>
      </c>
      <c r="N6" s="1" t="s">
        <v>162</v>
      </c>
      <c r="O6" s="61"/>
      <c r="P6" s="61"/>
      <c r="Q6" s="61"/>
      <c r="R6" s="59"/>
    </row>
    <row r="7" spans="1:18" ht="28" customHeight="1" x14ac:dyDescent="0.15">
      <c r="A7" s="59"/>
      <c r="B7" s="184" t="s">
        <v>163</v>
      </c>
      <c r="C7" s="184"/>
      <c r="D7" s="62">
        <f>SUMPRODUCT((Модель!$S$5:$S$44="FBS")*Модель!$AL$5:$AL$44)</f>
        <v>87</v>
      </c>
      <c r="E7" s="61"/>
      <c r="F7" s="102" t="s">
        <v>164</v>
      </c>
      <c r="G7" s="103">
        <v>9</v>
      </c>
      <c r="H7" s="102" t="s">
        <v>159</v>
      </c>
      <c r="I7" s="102" t="str">
        <f>HYPERLINK("https://fulllog.ru/prices","Fulllog")</f>
        <v>Fulllog</v>
      </c>
      <c r="K7" t="s">
        <v>165</v>
      </c>
      <c r="L7" s="61">
        <v>2.5</v>
      </c>
      <c r="M7" s="61" t="s">
        <v>166</v>
      </c>
      <c r="N7" s="61" t="s">
        <v>167</v>
      </c>
      <c r="O7" s="61"/>
      <c r="P7" s="61"/>
      <c r="Q7" s="61"/>
      <c r="R7" s="59"/>
    </row>
    <row r="8" spans="1:18" ht="42" customHeight="1" x14ac:dyDescent="0.15">
      <c r="A8" s="59"/>
      <c r="B8" s="184" t="s">
        <v>168</v>
      </c>
      <c r="C8" s="184"/>
      <c r="D8" s="63">
        <f>SUM(Модель!$V$5:$V$44)</f>
        <v>37.699011000000006</v>
      </c>
      <c r="E8" s="61"/>
      <c r="F8" s="102" t="s">
        <v>169</v>
      </c>
      <c r="G8" s="103">
        <v>4</v>
      </c>
      <c r="H8" s="102" t="s">
        <v>159</v>
      </c>
      <c r="I8" s="102" t="str">
        <f>HYPERLINK("https://fulllog.ru/3pl","Fulllog 3PL")</f>
        <v>Fulllog 3PL</v>
      </c>
      <c r="L8" s="61"/>
      <c r="M8" s="61"/>
      <c r="N8" s="61"/>
      <c r="O8" s="61"/>
      <c r="P8" s="61"/>
      <c r="Q8" s="61"/>
      <c r="R8" s="59"/>
    </row>
    <row r="9" spans="1:18" ht="42" customHeight="1" x14ac:dyDescent="0.15">
      <c r="A9" s="59"/>
      <c r="B9" s="61"/>
      <c r="C9" s="61"/>
      <c r="D9" s="61"/>
      <c r="E9" s="61"/>
      <c r="F9" s="102" t="s">
        <v>170</v>
      </c>
      <c r="G9" s="103">
        <v>25</v>
      </c>
      <c r="H9" s="102" t="s">
        <v>159</v>
      </c>
      <c r="I9" s="102" t="str">
        <f>HYPERLINK("https://fulllog.ru/fulfillment-ozon","Fulllog для Ozon")</f>
        <v>Fulllog для Ozon</v>
      </c>
      <c r="L9" s="61"/>
      <c r="M9" s="61"/>
      <c r="N9" s="61"/>
      <c r="O9" s="61"/>
      <c r="P9" s="61"/>
      <c r="Q9" s="61"/>
      <c r="R9" s="59"/>
    </row>
    <row r="10" spans="1:18" ht="28" customHeight="1" x14ac:dyDescent="0.15">
      <c r="A10" s="59"/>
      <c r="B10" s="189" t="s">
        <v>171</v>
      </c>
      <c r="C10" s="189"/>
      <c r="D10" s="189"/>
      <c r="E10" s="61"/>
      <c r="F10" s="102" t="s">
        <v>32</v>
      </c>
      <c r="G10" s="103">
        <v>89</v>
      </c>
      <c r="H10" s="102" t="s">
        <v>172</v>
      </c>
      <c r="I10" s="102" t="str">
        <f>HYPERLINK("https://fulllog.ru/prices","Fulllog")</f>
        <v>Fulllog</v>
      </c>
      <c r="L10" s="61"/>
      <c r="M10" s="61"/>
      <c r="N10" s="61"/>
      <c r="O10" s="61"/>
      <c r="P10" s="61"/>
      <c r="Q10" s="61"/>
      <c r="R10" s="59"/>
    </row>
    <row r="11" spans="1:18" ht="28" customHeight="1" x14ac:dyDescent="0.15">
      <c r="A11" s="59"/>
      <c r="B11" s="188" t="s">
        <v>158</v>
      </c>
      <c r="C11" s="188"/>
      <c r="D11" s="106">
        <f>SUM(J25:J64)*(1-$D$5)</f>
        <v>5875</v>
      </c>
      <c r="E11" s="61"/>
      <c r="F11" s="102" t="s">
        <v>173</v>
      </c>
      <c r="G11" s="103">
        <v>58</v>
      </c>
      <c r="H11" s="102" t="s">
        <v>159</v>
      </c>
      <c r="I11" s="102" t="str">
        <f>HYPERLINK("https://fulllog.ru/fulfillment-ozon","Fulllog для Ozon")</f>
        <v>Fulllog для Ozon</v>
      </c>
      <c r="L11" s="61"/>
      <c r="M11" s="61"/>
      <c r="N11" s="61"/>
      <c r="O11" s="61"/>
      <c r="P11" s="61"/>
      <c r="Q11" s="61"/>
      <c r="R11" s="59"/>
    </row>
    <row r="12" spans="1:18" ht="28" customHeight="1" x14ac:dyDescent="0.15">
      <c r="A12" s="59"/>
      <c r="B12" s="188" t="s">
        <v>32</v>
      </c>
      <c r="C12" s="188"/>
      <c r="D12" s="106">
        <f>SUM(K25:K64)*(1-$D$5)</f>
        <v>362833.55906250002</v>
      </c>
      <c r="E12" s="61"/>
      <c r="F12" s="102" t="s">
        <v>174</v>
      </c>
      <c r="G12" s="103">
        <v>10000</v>
      </c>
      <c r="H12" s="102" t="s">
        <v>175</v>
      </c>
      <c r="I12" s="102" t="str">
        <f>HYPERLINK("https://fulllog.ru/company","Fulllog")</f>
        <v>Fulllog</v>
      </c>
      <c r="L12" s="61"/>
      <c r="M12" s="61"/>
      <c r="N12" s="61"/>
      <c r="O12" s="61"/>
      <c r="P12" s="61"/>
      <c r="Q12" s="61"/>
      <c r="R12" s="59"/>
    </row>
    <row r="13" spans="1:18" ht="28" customHeight="1" x14ac:dyDescent="0.15">
      <c r="A13" s="59"/>
      <c r="B13" s="188" t="s">
        <v>176</v>
      </c>
      <c r="C13" s="188"/>
      <c r="D13" s="106">
        <f>SUM(L25:L64)*(1-$D$5)</f>
        <v>10575</v>
      </c>
      <c r="E13" s="61"/>
      <c r="F13" s="61"/>
      <c r="G13" s="61"/>
      <c r="H13" s="61"/>
      <c r="I13" s="65"/>
      <c r="J13" s="61"/>
      <c r="O13" s="61"/>
      <c r="P13" s="61"/>
      <c r="Q13" s="61"/>
      <c r="R13" s="59"/>
    </row>
    <row r="14" spans="1:18" ht="28" customHeight="1" x14ac:dyDescent="0.15">
      <c r="A14" s="59"/>
      <c r="B14" s="188" t="s">
        <v>34</v>
      </c>
      <c r="C14" s="188"/>
      <c r="D14" s="106">
        <f>SUM(M25:M64)*(1-$D$5)</f>
        <v>28410</v>
      </c>
      <c r="E14" s="61"/>
      <c r="F14" s="190" t="s">
        <v>177</v>
      </c>
      <c r="G14" s="191"/>
      <c r="H14" s="191"/>
      <c r="I14" s="192"/>
      <c r="O14" s="61"/>
      <c r="P14" s="61"/>
      <c r="Q14" s="61"/>
      <c r="R14" s="59"/>
    </row>
    <row r="15" spans="1:18" ht="42" customHeight="1" x14ac:dyDescent="0.15">
      <c r="A15" s="59"/>
      <c r="B15" s="188" t="s">
        <v>169</v>
      </c>
      <c r="C15" s="188"/>
      <c r="D15" s="106">
        <f>SUM(N25:N64)*(1-$D$5)</f>
        <v>4700</v>
      </c>
      <c r="E15" s="61"/>
      <c r="F15" s="101" t="s">
        <v>178</v>
      </c>
      <c r="G15" s="104" t="s">
        <v>155</v>
      </c>
      <c r="H15" s="101" t="s">
        <v>116</v>
      </c>
      <c r="I15" s="101" t="s">
        <v>46</v>
      </c>
      <c r="O15" s="61"/>
      <c r="P15" s="61"/>
      <c r="Q15" s="61"/>
      <c r="R15" s="59"/>
    </row>
    <row r="16" spans="1:18" ht="28" customHeight="1" x14ac:dyDescent="0.15">
      <c r="A16" s="59"/>
      <c r="B16" s="188" t="s">
        <v>179</v>
      </c>
      <c r="C16" s="188"/>
      <c r="D16" s="106">
        <f>SUM(O25:O64)*(1-$D$5)</f>
        <v>29375</v>
      </c>
      <c r="E16" s="61"/>
      <c r="F16" s="102">
        <v>30</v>
      </c>
      <c r="G16" s="103">
        <v>6</v>
      </c>
      <c r="H16" s="105" t="s">
        <v>159</v>
      </c>
      <c r="I16" s="102" t="str">
        <f t="shared" ref="I16:I21" si="0">HYPERLINK("https://fulllog.ru/pereupakovka","Fulllog")</f>
        <v>Fulllog</v>
      </c>
      <c r="L16" s="61"/>
      <c r="M16" s="61"/>
      <c r="N16" s="61"/>
      <c r="O16" s="61"/>
      <c r="P16" s="61"/>
      <c r="Q16" s="61"/>
      <c r="R16" s="59"/>
    </row>
    <row r="17" spans="1:18" ht="28" customHeight="1" x14ac:dyDescent="0.15">
      <c r="A17" s="59"/>
      <c r="B17" s="188" t="s">
        <v>39</v>
      </c>
      <c r="C17" s="188"/>
      <c r="D17" s="106">
        <f>SUM(P25:P64)*(1-$D$5)</f>
        <v>5046</v>
      </c>
      <c r="E17" s="61"/>
      <c r="F17" s="102">
        <v>50</v>
      </c>
      <c r="G17" s="103">
        <v>12</v>
      </c>
      <c r="H17" s="105" t="s">
        <v>159</v>
      </c>
      <c r="I17" s="102" t="str">
        <f t="shared" si="0"/>
        <v>Fulllog</v>
      </c>
      <c r="L17" s="61"/>
      <c r="M17" s="61"/>
      <c r="N17" s="61"/>
      <c r="O17" s="61"/>
      <c r="P17" s="61"/>
      <c r="Q17" s="61"/>
      <c r="R17" s="59"/>
    </row>
    <row r="18" spans="1:18" ht="28" customHeight="1" x14ac:dyDescent="0.15">
      <c r="A18" s="59"/>
      <c r="B18" s="188" t="s">
        <v>180</v>
      </c>
      <c r="C18" s="188"/>
      <c r="D18" s="106">
        <f>SUM(D11:D17)</f>
        <v>446814.55906250002</v>
      </c>
      <c r="E18" s="61"/>
      <c r="F18" s="102">
        <v>70</v>
      </c>
      <c r="G18" s="103">
        <v>16</v>
      </c>
      <c r="H18" s="105" t="s">
        <v>159</v>
      </c>
      <c r="I18" s="102" t="str">
        <f t="shared" si="0"/>
        <v>Fulllog</v>
      </c>
      <c r="L18" s="61"/>
      <c r="M18" s="61"/>
      <c r="N18" s="61"/>
      <c r="O18" s="61"/>
      <c r="P18" s="61"/>
      <c r="Q18" s="61"/>
      <c r="R18" s="59"/>
    </row>
    <row r="19" spans="1:18" ht="28" customHeight="1" x14ac:dyDescent="0.15">
      <c r="A19" s="59"/>
      <c r="B19" s="188" t="s">
        <v>181</v>
      </c>
      <c r="C19" s="188"/>
      <c r="D19" s="106">
        <f>MAX(0,IF(D6&gt;0,G12,0)-D18)</f>
        <v>0</v>
      </c>
      <c r="E19" s="61"/>
      <c r="F19" s="102">
        <v>90</v>
      </c>
      <c r="G19" s="103">
        <v>20</v>
      </c>
      <c r="H19" s="105" t="s">
        <v>159</v>
      </c>
      <c r="I19" s="102" t="str">
        <f t="shared" si="0"/>
        <v>Fulllog</v>
      </c>
      <c r="L19" s="61"/>
      <c r="M19" s="61"/>
      <c r="N19" s="61"/>
      <c r="O19" s="61"/>
      <c r="P19" s="61"/>
      <c r="Q19" s="61"/>
      <c r="R19" s="59"/>
    </row>
    <row r="20" spans="1:18" ht="28" customHeight="1" x14ac:dyDescent="0.15">
      <c r="A20" s="59"/>
      <c r="B20" s="188" t="s">
        <v>182</v>
      </c>
      <c r="C20" s="188"/>
      <c r="D20" s="107">
        <f>SUM(D18:D19)</f>
        <v>446814.55906250002</v>
      </c>
      <c r="E20" s="61"/>
      <c r="F20" s="102">
        <v>120</v>
      </c>
      <c r="G20" s="103">
        <v>26</v>
      </c>
      <c r="H20" s="105" t="s">
        <v>159</v>
      </c>
      <c r="I20" s="102" t="str">
        <f t="shared" si="0"/>
        <v>Fulllog</v>
      </c>
      <c r="L20" s="61"/>
      <c r="M20" s="61"/>
      <c r="N20" s="61"/>
      <c r="O20" s="61"/>
      <c r="P20" s="61"/>
      <c r="Q20" s="61"/>
      <c r="R20" s="59"/>
    </row>
    <row r="21" spans="1:18" ht="28" customHeight="1" x14ac:dyDescent="0.15">
      <c r="A21" s="59"/>
      <c r="B21" s="188" t="s">
        <v>183</v>
      </c>
      <c r="C21" s="188"/>
      <c r="D21" s="106">
        <f>SUM(Q25:Q64)</f>
        <v>446814.55906250002</v>
      </c>
      <c r="E21" s="61"/>
      <c r="F21" s="102">
        <v>150</v>
      </c>
      <c r="G21" s="103">
        <v>32</v>
      </c>
      <c r="H21" s="105" t="s">
        <v>159</v>
      </c>
      <c r="I21" s="102" t="str">
        <f t="shared" si="0"/>
        <v>Fulllog</v>
      </c>
      <c r="L21" s="61"/>
      <c r="M21" s="61"/>
      <c r="N21" s="61"/>
      <c r="O21" s="61"/>
      <c r="P21" s="61"/>
      <c r="Q21" s="61"/>
      <c r="R21" s="59"/>
    </row>
    <row r="22" spans="1:18" ht="28" customHeight="1" x14ac:dyDescent="0.15">
      <c r="A22" s="59"/>
      <c r="E22" s="61"/>
      <c r="F22" s="102" t="s">
        <v>184</v>
      </c>
      <c r="G22" s="103">
        <v>32</v>
      </c>
      <c r="H22" s="105" t="s">
        <v>185</v>
      </c>
      <c r="I22" s="102" t="s">
        <v>186</v>
      </c>
      <c r="L22" s="61"/>
      <c r="M22" s="61"/>
      <c r="N22" s="61"/>
      <c r="O22" s="61"/>
      <c r="P22" s="61"/>
      <c r="Q22" s="61"/>
      <c r="R22" s="59"/>
    </row>
    <row r="23" spans="1:18" ht="34" customHeight="1" x14ac:dyDescent="0.15">
      <c r="A23" s="59"/>
      <c r="B23" s="185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7"/>
      <c r="R23" s="59"/>
    </row>
    <row r="24" spans="1:18" ht="55" customHeight="1" x14ac:dyDescent="0.15">
      <c r="A24" s="59"/>
      <c r="B24" s="101" t="s">
        <v>47</v>
      </c>
      <c r="C24" s="101" t="s">
        <v>48</v>
      </c>
      <c r="D24" s="101" t="s">
        <v>187</v>
      </c>
      <c r="E24" s="101" t="s">
        <v>188</v>
      </c>
      <c r="F24" s="101" t="s">
        <v>189</v>
      </c>
      <c r="G24" s="108" t="s">
        <v>190</v>
      </c>
      <c r="H24" s="108" t="s">
        <v>191</v>
      </c>
      <c r="I24" s="101" t="s">
        <v>192</v>
      </c>
      <c r="J24" s="101" t="s">
        <v>193</v>
      </c>
      <c r="K24" s="101" t="s">
        <v>194</v>
      </c>
      <c r="L24" s="101" t="s">
        <v>195</v>
      </c>
      <c r="M24" s="101" t="s">
        <v>196</v>
      </c>
      <c r="N24" s="101" t="s">
        <v>197</v>
      </c>
      <c r="O24" s="101" t="s">
        <v>198</v>
      </c>
      <c r="P24" s="101" t="s">
        <v>199</v>
      </c>
      <c r="Q24" s="101" t="s">
        <v>200</v>
      </c>
      <c r="R24" s="59"/>
    </row>
    <row r="25" spans="1:18" ht="55" customHeight="1" x14ac:dyDescent="0.15">
      <c r="A25" s="59"/>
      <c r="B25" s="1" t="str">
        <f>SKU!A2</f>
        <v>SM-0001</v>
      </c>
      <c r="C25" s="1" t="str">
        <f>SKU!B2</f>
        <v>Кроссовки беговые мужские</v>
      </c>
      <c r="D25" s="1" t="str">
        <f>Модель!S5</f>
        <v>FBO</v>
      </c>
      <c r="E25" s="1">
        <f>SUM(SKU!F2:H2)</f>
        <v>66</v>
      </c>
      <c r="F25" s="66">
        <f>SKU!I2/1000</f>
        <v>8.3160000000000005E-3</v>
      </c>
      <c r="G25" s="62">
        <f>Модель!U5</f>
        <v>0</v>
      </c>
      <c r="H25" s="62">
        <f>IF(D25="FBS",Модель!AL5,0)</f>
        <v>0</v>
      </c>
      <c r="I25" s="62">
        <f>Модель!L5</f>
        <v>66.679446017105903</v>
      </c>
      <c r="J25" s="64">
        <f t="shared" ref="J25:J64" si="1">IF(D25="FBS",G25*$G$6,0)</f>
        <v>0</v>
      </c>
      <c r="K25" s="64">
        <f>IF(D25="FBS",Модель!BP5*F25*Модель!$C$48*$G$10*$L$6,0)</f>
        <v>0</v>
      </c>
      <c r="L25" s="64">
        <f t="shared" ref="L25:L64" si="2">IF(D25="FBS",G25*$G$7,0)</f>
        <v>0</v>
      </c>
      <c r="M25" s="64">
        <f t="shared" ref="M25:M64" si="3">IF(D25="FBS",G25*IF(E25&lt;=$F$16,$G$16,IF(E25&lt;=$F$17,$G$17,IF(E25&lt;=$F$18,$G$18,IF(E25&lt;=$F$19,$G$19,IF(E25&lt;=$F$20,$G$20,IF(E25&lt;=$F$21,$G$21,$G$22)))))),0)</f>
        <v>0</v>
      </c>
      <c r="N25" s="64">
        <f t="shared" ref="N25:N64" si="4">IF(D25="FBS",G25*$G$8,0)</f>
        <v>0</v>
      </c>
      <c r="O25" s="64">
        <f t="shared" ref="O25:O64" si="5">IF(D25="FBS",G25*$G$9,0)</f>
        <v>0</v>
      </c>
      <c r="P25" s="64">
        <f t="shared" ref="P25:P64" si="6">IF(D25="FBS",H25*$G$11,0)</f>
        <v>0</v>
      </c>
      <c r="Q25" s="64">
        <f t="shared" ref="Q25:Q64" si="7">SUM(J25:P25)</f>
        <v>0</v>
      </c>
      <c r="R25" s="59"/>
    </row>
    <row r="26" spans="1:18" ht="55" customHeight="1" x14ac:dyDescent="0.15">
      <c r="A26" s="59"/>
      <c r="B26" s="1" t="str">
        <f>SKU!A3</f>
        <v>SM-0002</v>
      </c>
      <c r="C26" s="1" t="str">
        <f>SKU!B3</f>
        <v>Кроссовки трейловые</v>
      </c>
      <c r="D26" s="1" t="str">
        <f>Модель!S6</f>
        <v>FBO</v>
      </c>
      <c r="E26" s="1">
        <f>SUM(SKU!F3:H3)</f>
        <v>69</v>
      </c>
      <c r="F26" s="66">
        <f>SKU!I3/1000</f>
        <v>9.724E-3</v>
      </c>
      <c r="G26" s="62">
        <f>Модель!U6</f>
        <v>0</v>
      </c>
      <c r="H26" s="62">
        <f>IF(D26="FBS",Модель!AL6,0)</f>
        <v>0</v>
      </c>
      <c r="I26" s="62">
        <f>Модель!L6</f>
        <v>67.064722642245698</v>
      </c>
      <c r="J26" s="64">
        <f t="shared" si="1"/>
        <v>0</v>
      </c>
      <c r="K26" s="64">
        <f>IF(D26="FBS",Модель!BP6*F26*Модель!$C$48*$G$10*$L$6,0)</f>
        <v>0</v>
      </c>
      <c r="L26" s="64">
        <f t="shared" si="2"/>
        <v>0</v>
      </c>
      <c r="M26" s="64">
        <f t="shared" si="3"/>
        <v>0</v>
      </c>
      <c r="N26" s="64">
        <f t="shared" si="4"/>
        <v>0</v>
      </c>
      <c r="O26" s="64">
        <f t="shared" si="5"/>
        <v>0</v>
      </c>
      <c r="P26" s="64">
        <f t="shared" si="6"/>
        <v>0</v>
      </c>
      <c r="Q26" s="64">
        <f t="shared" si="7"/>
        <v>0</v>
      </c>
      <c r="R26" s="59"/>
    </row>
    <row r="27" spans="1:18" ht="55" customHeight="1" x14ac:dyDescent="0.15">
      <c r="A27" s="59"/>
      <c r="B27" s="1" t="str">
        <f>SKU!A4</f>
        <v>SM-0003</v>
      </c>
      <c r="C27" s="1" t="str">
        <f>SKU!B4</f>
        <v>Кеды классические</v>
      </c>
      <c r="D27" s="1" t="str">
        <f>Модель!S7</f>
        <v>FBO</v>
      </c>
      <c r="E27" s="1">
        <f>SUM(SKU!F4:H4)</f>
        <v>63</v>
      </c>
      <c r="F27" s="66">
        <f>SKU!I4/1000</f>
        <v>7.0400000000000003E-3</v>
      </c>
      <c r="G27" s="62">
        <f>Модель!U7</f>
        <v>0</v>
      </c>
      <c r="H27" s="62">
        <f>IF(D27="FBS",Модель!AL7,0)</f>
        <v>0</v>
      </c>
      <c r="I27" s="62">
        <f>Модель!L7</f>
        <v>48.0312211717468</v>
      </c>
      <c r="J27" s="64">
        <f t="shared" si="1"/>
        <v>0</v>
      </c>
      <c r="K27" s="64">
        <f>IF(D27="FBS",Модель!BP7*F27*Модель!$C$48*$G$10*$L$6,0)</f>
        <v>0</v>
      </c>
      <c r="L27" s="64">
        <f t="shared" si="2"/>
        <v>0</v>
      </c>
      <c r="M27" s="64">
        <f t="shared" si="3"/>
        <v>0</v>
      </c>
      <c r="N27" s="64">
        <f t="shared" si="4"/>
        <v>0</v>
      </c>
      <c r="O27" s="64">
        <f t="shared" si="5"/>
        <v>0</v>
      </c>
      <c r="P27" s="64">
        <f t="shared" si="6"/>
        <v>0</v>
      </c>
      <c r="Q27" s="64">
        <f t="shared" si="7"/>
        <v>0</v>
      </c>
      <c r="R27" s="59"/>
    </row>
    <row r="28" spans="1:18" ht="55" customHeight="1" x14ac:dyDescent="0.15">
      <c r="A28" s="59"/>
      <c r="B28" s="1" t="str">
        <f>SKU!A5</f>
        <v>SM-0004</v>
      </c>
      <c r="C28" s="1" t="str">
        <f>SKU!B5</f>
        <v>Ботинки треккинговые</v>
      </c>
      <c r="D28" s="1" t="str">
        <f>Модель!S8</f>
        <v>FBS</v>
      </c>
      <c r="E28" s="1">
        <f>SUM(SKU!F5:H5)</f>
        <v>73</v>
      </c>
      <c r="F28" s="66">
        <f>SKU!I5/1000</f>
        <v>1.176E-2</v>
      </c>
      <c r="G28" s="62">
        <f>Модель!U8</f>
        <v>91</v>
      </c>
      <c r="H28" s="62">
        <f>IF(D28="FBS",Модель!AL8,0)</f>
        <v>15</v>
      </c>
      <c r="I28" s="62">
        <f>Модель!L8</f>
        <v>73.154068075705894</v>
      </c>
      <c r="J28" s="64">
        <f t="shared" si="1"/>
        <v>455</v>
      </c>
      <c r="K28" s="64">
        <f>IF(D28="FBS",Модель!BP8*F28*Модель!$C$48*$G$10*$L$6,0)</f>
        <v>9773.0009999999984</v>
      </c>
      <c r="L28" s="64">
        <f t="shared" si="2"/>
        <v>819</v>
      </c>
      <c r="M28" s="64">
        <f t="shared" si="3"/>
        <v>1820</v>
      </c>
      <c r="N28" s="64">
        <f t="shared" si="4"/>
        <v>364</v>
      </c>
      <c r="O28" s="64">
        <f t="shared" si="5"/>
        <v>2275</v>
      </c>
      <c r="P28" s="64">
        <f t="shared" si="6"/>
        <v>870</v>
      </c>
      <c r="Q28" s="64">
        <f t="shared" si="7"/>
        <v>16376.000999999998</v>
      </c>
      <c r="R28" s="59"/>
    </row>
    <row r="29" spans="1:18" ht="55" customHeight="1" x14ac:dyDescent="0.15">
      <c r="A29" s="59"/>
      <c r="B29" s="1" t="str">
        <f>SKU!A6</f>
        <v>SM-0005</v>
      </c>
      <c r="C29" s="1" t="str">
        <f>SKU!B6</f>
        <v>Сланцы пляжные</v>
      </c>
      <c r="D29" s="1" t="str">
        <f>Модель!S9</f>
        <v>FBO</v>
      </c>
      <c r="E29" s="1">
        <f>SUM(SKU!F6:H6)</f>
        <v>50</v>
      </c>
      <c r="F29" s="66">
        <f>SKU!I6/1000</f>
        <v>3.3599999999999997E-3</v>
      </c>
      <c r="G29" s="62">
        <f>Модель!U9</f>
        <v>0</v>
      </c>
      <c r="H29" s="62">
        <f>IF(D29="FBS",Модель!AL9,0)</f>
        <v>0</v>
      </c>
      <c r="I29" s="62">
        <f>Модель!L9</f>
        <v>79.611473240346001</v>
      </c>
      <c r="J29" s="64">
        <f t="shared" si="1"/>
        <v>0</v>
      </c>
      <c r="K29" s="64">
        <f>IF(D29="FBS",Модель!BP9*F29*Модель!$C$48*$G$10*$L$6,0)</f>
        <v>0</v>
      </c>
      <c r="L29" s="64">
        <f t="shared" si="2"/>
        <v>0</v>
      </c>
      <c r="M29" s="64">
        <f t="shared" si="3"/>
        <v>0</v>
      </c>
      <c r="N29" s="64">
        <f t="shared" si="4"/>
        <v>0</v>
      </c>
      <c r="O29" s="64">
        <f t="shared" si="5"/>
        <v>0</v>
      </c>
      <c r="P29" s="64">
        <f t="shared" si="6"/>
        <v>0</v>
      </c>
      <c r="Q29" s="64">
        <f t="shared" si="7"/>
        <v>0</v>
      </c>
      <c r="R29" s="59"/>
    </row>
    <row r="30" spans="1:18" ht="55" customHeight="1" x14ac:dyDescent="0.15">
      <c r="A30" s="59"/>
      <c r="B30" s="1" t="str">
        <f>SKU!A7</f>
        <v>SM-0006</v>
      </c>
      <c r="C30" s="1" t="str">
        <f>SKU!B7</f>
        <v>Футболка тренировочная</v>
      </c>
      <c r="D30" s="1" t="str">
        <f>Модель!S10</f>
        <v>FBO</v>
      </c>
      <c r="E30" s="1">
        <f>SUM(SKU!F7:H7)</f>
        <v>55</v>
      </c>
      <c r="F30" s="66">
        <f>SKU!I7/1000</f>
        <v>1.98E-3</v>
      </c>
      <c r="G30" s="62">
        <f>Модель!U10</f>
        <v>0</v>
      </c>
      <c r="H30" s="62">
        <f>IF(D30="FBS",Модель!AL10,0)</f>
        <v>0</v>
      </c>
      <c r="I30" s="62">
        <f>Модель!L10</f>
        <v>77.881051277751695</v>
      </c>
      <c r="J30" s="64">
        <f t="shared" si="1"/>
        <v>0</v>
      </c>
      <c r="K30" s="64">
        <f>IF(D30="FBS",Модель!BP10*F30*Модель!$C$48*$G$10*$L$6,0)</f>
        <v>0</v>
      </c>
      <c r="L30" s="64">
        <f t="shared" si="2"/>
        <v>0</v>
      </c>
      <c r="M30" s="64">
        <f t="shared" si="3"/>
        <v>0</v>
      </c>
      <c r="N30" s="64">
        <f t="shared" si="4"/>
        <v>0</v>
      </c>
      <c r="O30" s="64">
        <f t="shared" si="5"/>
        <v>0</v>
      </c>
      <c r="P30" s="64">
        <f t="shared" si="6"/>
        <v>0</v>
      </c>
      <c r="Q30" s="64">
        <f t="shared" si="7"/>
        <v>0</v>
      </c>
      <c r="R30" s="59"/>
    </row>
    <row r="31" spans="1:18" ht="55" customHeight="1" x14ac:dyDescent="0.15">
      <c r="A31" s="59"/>
      <c r="B31" s="1" t="str">
        <f>SKU!A8</f>
        <v>SM-0007</v>
      </c>
      <c r="C31" s="1" t="str">
        <f>SKU!B8</f>
        <v>Шорты беговые</v>
      </c>
      <c r="D31" s="1" t="str">
        <f>Модель!S11</f>
        <v>FBO</v>
      </c>
      <c r="E31" s="1">
        <f>SUM(SKU!F8:H8)</f>
        <v>52</v>
      </c>
      <c r="F31" s="66">
        <f>SKU!I8/1000</f>
        <v>2.2400000000000002E-3</v>
      </c>
      <c r="G31" s="62">
        <f>Модель!U11</f>
        <v>0</v>
      </c>
      <c r="H31" s="62">
        <f>IF(D31="FBS",Модель!AL11,0)</f>
        <v>0</v>
      </c>
      <c r="I31" s="62">
        <f>Модель!L11</f>
        <v>82.191663471933097</v>
      </c>
      <c r="J31" s="64">
        <f t="shared" si="1"/>
        <v>0</v>
      </c>
      <c r="K31" s="64">
        <f>IF(D31="FBS",Модель!BP11*F31*Модель!$C$48*$G$10*$L$6,0)</f>
        <v>0</v>
      </c>
      <c r="L31" s="64">
        <f t="shared" si="2"/>
        <v>0</v>
      </c>
      <c r="M31" s="64">
        <f t="shared" si="3"/>
        <v>0</v>
      </c>
      <c r="N31" s="64">
        <f t="shared" si="4"/>
        <v>0</v>
      </c>
      <c r="O31" s="64">
        <f t="shared" si="5"/>
        <v>0</v>
      </c>
      <c r="P31" s="64">
        <f t="shared" si="6"/>
        <v>0</v>
      </c>
      <c r="Q31" s="64">
        <f t="shared" si="7"/>
        <v>0</v>
      </c>
      <c r="R31" s="59"/>
    </row>
    <row r="32" spans="1:18" ht="55" customHeight="1" x14ac:dyDescent="0.15">
      <c r="A32" s="59"/>
      <c r="B32" s="1" t="str">
        <f>SKU!A9</f>
        <v>SM-0008</v>
      </c>
      <c r="C32" s="1" t="str">
        <f>SKU!B9</f>
        <v>Ветровка для бега</v>
      </c>
      <c r="D32" s="1" t="str">
        <f>Модель!S12</f>
        <v>FBO</v>
      </c>
      <c r="E32" s="1">
        <f>SUM(SKU!F9:H9)</f>
        <v>66</v>
      </c>
      <c r="F32" s="66">
        <f>SKU!I9/1000</f>
        <v>5.2500000000000003E-3</v>
      </c>
      <c r="G32" s="62">
        <f>Модель!U12</f>
        <v>0</v>
      </c>
      <c r="H32" s="62">
        <f>IF(D32="FBS",Модель!AL12,0)</f>
        <v>0</v>
      </c>
      <c r="I32" s="62">
        <f>Модель!L12</f>
        <v>79.712035411535496</v>
      </c>
      <c r="J32" s="64">
        <f t="shared" si="1"/>
        <v>0</v>
      </c>
      <c r="K32" s="64">
        <f>IF(D32="FBS",Модель!BP12*F32*Модель!$C$48*$G$10*$L$6,0)</f>
        <v>0</v>
      </c>
      <c r="L32" s="64">
        <f t="shared" si="2"/>
        <v>0</v>
      </c>
      <c r="M32" s="64">
        <f t="shared" si="3"/>
        <v>0</v>
      </c>
      <c r="N32" s="64">
        <f t="shared" si="4"/>
        <v>0</v>
      </c>
      <c r="O32" s="64">
        <f t="shared" si="5"/>
        <v>0</v>
      </c>
      <c r="P32" s="64">
        <f t="shared" si="6"/>
        <v>0</v>
      </c>
      <c r="Q32" s="64">
        <f t="shared" si="7"/>
        <v>0</v>
      </c>
      <c r="R32" s="59"/>
    </row>
    <row r="33" spans="1:18" ht="55" customHeight="1" x14ac:dyDescent="0.15">
      <c r="A33" s="59"/>
      <c r="B33" s="1" t="str">
        <f>SKU!A10</f>
        <v>SM-0009</v>
      </c>
      <c r="C33" s="1" t="str">
        <f>SKU!B10</f>
        <v>Куртка зимняя утеплённая</v>
      </c>
      <c r="D33" s="1" t="str">
        <f>Модель!S13</f>
        <v>FBS</v>
      </c>
      <c r="E33" s="1">
        <f>SUM(SKU!F10:H10)</f>
        <v>95</v>
      </c>
      <c r="F33" s="66">
        <f>SKU!I10/1000</f>
        <v>2.3625E-2</v>
      </c>
      <c r="G33" s="62">
        <f>Модель!U13</f>
        <v>20</v>
      </c>
      <c r="H33" s="62">
        <f>IF(D33="FBS",Модель!AL13,0)</f>
        <v>4</v>
      </c>
      <c r="I33" s="62">
        <f>Модель!L13</f>
        <v>140</v>
      </c>
      <c r="J33" s="64">
        <f t="shared" si="1"/>
        <v>100</v>
      </c>
      <c r="K33" s="64">
        <f>IF(D33="FBS",Модель!BP13*F33*Модель!$C$48*$G$10*$L$6,0)</f>
        <v>8515.6312500000004</v>
      </c>
      <c r="L33" s="64">
        <f t="shared" si="2"/>
        <v>180</v>
      </c>
      <c r="M33" s="64">
        <f t="shared" si="3"/>
        <v>520</v>
      </c>
      <c r="N33" s="64">
        <f t="shared" si="4"/>
        <v>80</v>
      </c>
      <c r="O33" s="64">
        <f t="shared" si="5"/>
        <v>500</v>
      </c>
      <c r="P33" s="64">
        <f t="shared" si="6"/>
        <v>232</v>
      </c>
      <c r="Q33" s="64">
        <f t="shared" si="7"/>
        <v>10127.63125</v>
      </c>
      <c r="R33" s="59"/>
    </row>
    <row r="34" spans="1:18" ht="55" customHeight="1" x14ac:dyDescent="0.15">
      <c r="A34" s="59"/>
      <c r="B34" s="1" t="str">
        <f>SKU!A11</f>
        <v>SM-0010</v>
      </c>
      <c r="C34" s="1" t="str">
        <f>SKU!B11</f>
        <v>Леггинсы женские</v>
      </c>
      <c r="D34" s="1" t="str">
        <f>Модель!S14</f>
        <v>FBO</v>
      </c>
      <c r="E34" s="1">
        <f>SUM(SKU!F11:H11)</f>
        <v>52</v>
      </c>
      <c r="F34" s="66">
        <f>SKU!I11/1000</f>
        <v>2.2400000000000002E-3</v>
      </c>
      <c r="G34" s="62">
        <f>Модель!U14</f>
        <v>0</v>
      </c>
      <c r="H34" s="62">
        <f>IF(D34="FBS",Модель!AL14,0)</f>
        <v>0</v>
      </c>
      <c r="I34" s="62">
        <f>Модель!L14</f>
        <v>77.397200848446502</v>
      </c>
      <c r="J34" s="64">
        <f t="shared" si="1"/>
        <v>0</v>
      </c>
      <c r="K34" s="64">
        <f>IF(D34="FBS",Модель!BP14*F34*Модель!$C$48*$G$10*$L$6,0)</f>
        <v>0</v>
      </c>
      <c r="L34" s="64">
        <f t="shared" si="2"/>
        <v>0</v>
      </c>
      <c r="M34" s="64">
        <f t="shared" si="3"/>
        <v>0</v>
      </c>
      <c r="N34" s="64">
        <f t="shared" si="4"/>
        <v>0</v>
      </c>
      <c r="O34" s="64">
        <f t="shared" si="5"/>
        <v>0</v>
      </c>
      <c r="P34" s="64">
        <f t="shared" si="6"/>
        <v>0</v>
      </c>
      <c r="Q34" s="64">
        <f t="shared" si="7"/>
        <v>0</v>
      </c>
      <c r="R34" s="59"/>
    </row>
    <row r="35" spans="1:18" ht="55" customHeight="1" x14ac:dyDescent="0.15">
      <c r="A35" s="59"/>
      <c r="B35" s="1" t="str">
        <f>SKU!A12</f>
        <v>SM-0011</v>
      </c>
      <c r="C35" s="1" t="str">
        <f>SKU!B12</f>
        <v>Гантели разборные 2×10 кг</v>
      </c>
      <c r="D35" s="1" t="str">
        <f>Модель!S15</f>
        <v>FBS</v>
      </c>
      <c r="E35" s="1">
        <f>SUM(SKU!F12:H12)</f>
        <v>85</v>
      </c>
      <c r="F35" s="66">
        <f>SKU!I12/1000</f>
        <v>1.6875000000000001E-2</v>
      </c>
      <c r="G35" s="62">
        <f>Модель!U15</f>
        <v>55</v>
      </c>
      <c r="H35" s="62">
        <f>IF(D35="FBS",Модель!AL15,0)</f>
        <v>2</v>
      </c>
      <c r="I35" s="62">
        <f>Модель!L15</f>
        <v>81.658981929829693</v>
      </c>
      <c r="J35" s="64">
        <f t="shared" si="1"/>
        <v>275</v>
      </c>
      <c r="K35" s="64">
        <f>IF(D35="FBS",Модель!BP15*F35*Модель!$C$48*$G$10*$L$6,0)</f>
        <v>9518.1328125</v>
      </c>
      <c r="L35" s="64">
        <f t="shared" si="2"/>
        <v>495</v>
      </c>
      <c r="M35" s="64">
        <f t="shared" si="3"/>
        <v>1100</v>
      </c>
      <c r="N35" s="64">
        <f t="shared" si="4"/>
        <v>220</v>
      </c>
      <c r="O35" s="64">
        <f t="shared" si="5"/>
        <v>1375</v>
      </c>
      <c r="P35" s="64">
        <f t="shared" si="6"/>
        <v>116</v>
      </c>
      <c r="Q35" s="64">
        <f t="shared" si="7"/>
        <v>13099.1328125</v>
      </c>
      <c r="R35" s="59"/>
    </row>
    <row r="36" spans="1:18" ht="55" customHeight="1" x14ac:dyDescent="0.15">
      <c r="A36" s="59"/>
      <c r="B36" s="1" t="str">
        <f>SKU!A13</f>
        <v>SM-0012</v>
      </c>
      <c r="C36" s="1" t="str">
        <f>SKU!B13</f>
        <v>Гиря чугунная 16 кг</v>
      </c>
      <c r="D36" s="1" t="str">
        <f>Модель!S16</f>
        <v>FBS</v>
      </c>
      <c r="E36" s="1">
        <f>SUM(SKU!F13:H13)</f>
        <v>67</v>
      </c>
      <c r="F36" s="66">
        <f>SKU!I13/1000</f>
        <v>1.0999999999999999E-2</v>
      </c>
      <c r="G36" s="62">
        <f>Модель!U16</f>
        <v>41</v>
      </c>
      <c r="H36" s="62">
        <f>IF(D36="FBS",Модель!AL16,0)</f>
        <v>1</v>
      </c>
      <c r="I36" s="62">
        <f>Модель!L16</f>
        <v>60.716212370823399</v>
      </c>
      <c r="J36" s="64">
        <f t="shared" si="1"/>
        <v>205</v>
      </c>
      <c r="K36" s="64">
        <f>IF(D36="FBS",Модель!BP16*F36*Модель!$C$48*$G$10*$L$6,0)</f>
        <v>3450.9749999999995</v>
      </c>
      <c r="L36" s="64">
        <f t="shared" si="2"/>
        <v>369</v>
      </c>
      <c r="M36" s="64">
        <f t="shared" si="3"/>
        <v>656</v>
      </c>
      <c r="N36" s="64">
        <f t="shared" si="4"/>
        <v>164</v>
      </c>
      <c r="O36" s="64">
        <f t="shared" si="5"/>
        <v>1025</v>
      </c>
      <c r="P36" s="64">
        <f t="shared" si="6"/>
        <v>58</v>
      </c>
      <c r="Q36" s="64">
        <f t="shared" si="7"/>
        <v>5927.9749999999995</v>
      </c>
      <c r="R36" s="59"/>
    </row>
    <row r="37" spans="1:18" ht="55" customHeight="1" x14ac:dyDescent="0.15">
      <c r="A37" s="59"/>
      <c r="B37" s="1" t="str">
        <f>SKU!A14</f>
        <v>SM-0013</v>
      </c>
      <c r="C37" s="1" t="str">
        <f>SKU!B14</f>
        <v>Коврик для йоги 6 мм</v>
      </c>
      <c r="D37" s="1" t="str">
        <f>Модель!S17</f>
        <v>FBS</v>
      </c>
      <c r="E37" s="1">
        <f>SUM(SKU!F14:H14)</f>
        <v>96</v>
      </c>
      <c r="F37" s="66">
        <f>SKU!I14/1000</f>
        <v>1.485E-2</v>
      </c>
      <c r="G37" s="62">
        <f>Модель!U17</f>
        <v>300</v>
      </c>
      <c r="H37" s="62">
        <f>IF(D37="FBS",Модель!AL17,0)</f>
        <v>12</v>
      </c>
      <c r="I37" s="62">
        <f>Модель!L17</f>
        <v>88.153618622041805</v>
      </c>
      <c r="J37" s="64">
        <f t="shared" si="1"/>
        <v>1500</v>
      </c>
      <c r="K37" s="64">
        <f>IF(D37="FBS",Модель!BP17*F37*Модель!$C$48*$G$10*$L$6,0)</f>
        <v>48669.761250000003</v>
      </c>
      <c r="L37" s="64">
        <f t="shared" si="2"/>
        <v>2700</v>
      </c>
      <c r="M37" s="64">
        <f t="shared" si="3"/>
        <v>7800</v>
      </c>
      <c r="N37" s="64">
        <f t="shared" si="4"/>
        <v>1200</v>
      </c>
      <c r="O37" s="64">
        <f t="shared" si="5"/>
        <v>7500</v>
      </c>
      <c r="P37" s="64">
        <f t="shared" si="6"/>
        <v>696</v>
      </c>
      <c r="Q37" s="64">
        <f t="shared" si="7"/>
        <v>70065.76125000001</v>
      </c>
      <c r="R37" s="59"/>
    </row>
    <row r="38" spans="1:18" ht="55" customHeight="1" x14ac:dyDescent="0.15">
      <c r="A38" s="59"/>
      <c r="B38" s="1" t="str">
        <f>SKU!A15</f>
        <v>SM-0014</v>
      </c>
      <c r="C38" s="1" t="str">
        <f>SKU!B15</f>
        <v>Набор эспандеров</v>
      </c>
      <c r="D38" s="1" t="str">
        <f>Модель!S18</f>
        <v>FBO</v>
      </c>
      <c r="E38" s="1">
        <f>SUM(SKU!F15:H15)</f>
        <v>36</v>
      </c>
      <c r="F38" s="66">
        <f>SKU!I15/1000</f>
        <v>1.2960000000000001E-3</v>
      </c>
      <c r="G38" s="62">
        <f>Модель!U18</f>
        <v>0</v>
      </c>
      <c r="H38" s="62">
        <f>IF(D38="FBS",Модель!AL18,0)</f>
        <v>0</v>
      </c>
      <c r="I38" s="62">
        <f>Модель!L18</f>
        <v>44.843154704588301</v>
      </c>
      <c r="J38" s="64">
        <f t="shared" si="1"/>
        <v>0</v>
      </c>
      <c r="K38" s="64">
        <f>IF(D38="FBS",Модель!BP18*F38*Модель!$C$48*$G$10*$L$6,0)</f>
        <v>0</v>
      </c>
      <c r="L38" s="64">
        <f t="shared" si="2"/>
        <v>0</v>
      </c>
      <c r="M38" s="64">
        <f t="shared" si="3"/>
        <v>0</v>
      </c>
      <c r="N38" s="64">
        <f t="shared" si="4"/>
        <v>0</v>
      </c>
      <c r="O38" s="64">
        <f t="shared" si="5"/>
        <v>0</v>
      </c>
      <c r="P38" s="64">
        <f t="shared" si="6"/>
        <v>0</v>
      </c>
      <c r="Q38" s="64">
        <f t="shared" si="7"/>
        <v>0</v>
      </c>
      <c r="R38" s="59"/>
    </row>
    <row r="39" spans="1:18" ht="55" customHeight="1" x14ac:dyDescent="0.15">
      <c r="A39" s="59"/>
      <c r="B39" s="1" t="str">
        <f>SKU!A16</f>
        <v>SM-0015</v>
      </c>
      <c r="C39" s="1" t="str">
        <f>SKU!B16</f>
        <v>Скакалка скоростная</v>
      </c>
      <c r="D39" s="1" t="str">
        <f>Модель!S19</f>
        <v>FBO</v>
      </c>
      <c r="E39" s="1">
        <f>SUM(SKU!F16:H16)</f>
        <v>36</v>
      </c>
      <c r="F39" s="66">
        <f>SKU!I16/1000</f>
        <v>9.5999999999999992E-4</v>
      </c>
      <c r="G39" s="62">
        <f>Модель!U19</f>
        <v>0</v>
      </c>
      <c r="H39" s="62">
        <f>IF(D39="FBS",Модель!AL19,0)</f>
        <v>0</v>
      </c>
      <c r="I39" s="62">
        <f>Модель!L19</f>
        <v>79.627189847283404</v>
      </c>
      <c r="J39" s="64">
        <f t="shared" si="1"/>
        <v>0</v>
      </c>
      <c r="K39" s="64">
        <f>IF(D39="FBS",Модель!BP19*F39*Модель!$C$48*$G$10*$L$6,0)</f>
        <v>0</v>
      </c>
      <c r="L39" s="64">
        <f t="shared" si="2"/>
        <v>0</v>
      </c>
      <c r="M39" s="64">
        <f t="shared" si="3"/>
        <v>0</v>
      </c>
      <c r="N39" s="64">
        <f t="shared" si="4"/>
        <v>0</v>
      </c>
      <c r="O39" s="64">
        <f t="shared" si="5"/>
        <v>0</v>
      </c>
      <c r="P39" s="64">
        <f t="shared" si="6"/>
        <v>0</v>
      </c>
      <c r="Q39" s="64">
        <f t="shared" si="7"/>
        <v>0</v>
      </c>
      <c r="R39" s="59"/>
    </row>
    <row r="40" spans="1:18" ht="55" customHeight="1" x14ac:dyDescent="0.15">
      <c r="A40" s="59"/>
      <c r="B40" s="1" t="str">
        <f>SKU!A17</f>
        <v>SM-0016</v>
      </c>
      <c r="C40" s="1" t="str">
        <f>SKU!B17</f>
        <v>Палатка 2-местная</v>
      </c>
      <c r="D40" s="1" t="str">
        <f>Модель!S20</f>
        <v>FBS</v>
      </c>
      <c r="E40" s="1">
        <f>SUM(SKU!F17:H17)</f>
        <v>98</v>
      </c>
      <c r="F40" s="66">
        <f>SKU!I17/1000</f>
        <v>2.3199999999999998E-2</v>
      </c>
      <c r="G40" s="62">
        <f>Модель!U20</f>
        <v>43</v>
      </c>
      <c r="H40" s="62">
        <f>IF(D40="FBS",Модель!AL20,0)</f>
        <v>3</v>
      </c>
      <c r="I40" s="62">
        <f>Модель!L20</f>
        <v>44.532530319726803</v>
      </c>
      <c r="J40" s="64">
        <f t="shared" si="1"/>
        <v>215</v>
      </c>
      <c r="K40" s="64">
        <f>IF(D40="FBS",Модель!BP20*F40*Модель!$C$48*$G$10*$L$6,0)</f>
        <v>5574.96</v>
      </c>
      <c r="L40" s="64">
        <f t="shared" si="2"/>
        <v>387</v>
      </c>
      <c r="M40" s="64">
        <f t="shared" si="3"/>
        <v>1118</v>
      </c>
      <c r="N40" s="64">
        <f t="shared" si="4"/>
        <v>172</v>
      </c>
      <c r="O40" s="64">
        <f t="shared" si="5"/>
        <v>1075</v>
      </c>
      <c r="P40" s="64">
        <f t="shared" si="6"/>
        <v>174</v>
      </c>
      <c r="Q40" s="64">
        <f t="shared" si="7"/>
        <v>8715.9599999999991</v>
      </c>
      <c r="R40" s="59"/>
    </row>
    <row r="41" spans="1:18" ht="55" customHeight="1" x14ac:dyDescent="0.15">
      <c r="A41" s="59"/>
      <c r="B41" s="1" t="str">
        <f>SKU!A18</f>
        <v>SM-0017</v>
      </c>
      <c r="C41" s="1" t="str">
        <f>SKU!B18</f>
        <v>Палатка 4-местная</v>
      </c>
      <c r="D41" s="1" t="str">
        <f>Модель!S21</f>
        <v>FBS</v>
      </c>
      <c r="E41" s="1">
        <f>SUM(SKU!F18:H18)</f>
        <v>120</v>
      </c>
      <c r="F41" s="66">
        <f>SKU!I18/1000</f>
        <v>4.5968000000000002E-2</v>
      </c>
      <c r="G41" s="62">
        <f>Модель!U21</f>
        <v>21</v>
      </c>
      <c r="H41" s="62">
        <f>IF(D41="FBS",Модель!AL21,0)</f>
        <v>2</v>
      </c>
      <c r="I41" s="62">
        <f>Модель!L21</f>
        <v>47.409610835220001</v>
      </c>
      <c r="J41" s="64">
        <f t="shared" si="1"/>
        <v>105</v>
      </c>
      <c r="K41" s="64">
        <f>IF(D41="FBS",Модель!BP21*F41*Модель!$C$48*$G$10*$L$6,0)</f>
        <v>5829.8915999999999</v>
      </c>
      <c r="L41" s="64">
        <f t="shared" si="2"/>
        <v>189</v>
      </c>
      <c r="M41" s="64">
        <f t="shared" si="3"/>
        <v>546</v>
      </c>
      <c r="N41" s="64">
        <f t="shared" si="4"/>
        <v>84</v>
      </c>
      <c r="O41" s="64">
        <f t="shared" si="5"/>
        <v>525</v>
      </c>
      <c r="P41" s="64">
        <f t="shared" si="6"/>
        <v>116</v>
      </c>
      <c r="Q41" s="64">
        <f t="shared" si="7"/>
        <v>7394.8915999999999</v>
      </c>
      <c r="R41" s="59"/>
    </row>
    <row r="42" spans="1:18" ht="55" customHeight="1" x14ac:dyDescent="0.15">
      <c r="A42" s="59"/>
      <c r="B42" s="1" t="str">
        <f>SKU!A19</f>
        <v>SM-0018</v>
      </c>
      <c r="C42" s="1" t="str">
        <f>SKU!B19</f>
        <v>Спальный мешок −5 °C</v>
      </c>
      <c r="D42" s="1" t="str">
        <f>Модель!S22</f>
        <v>FBS</v>
      </c>
      <c r="E42" s="1">
        <f>SUM(SKU!F19:H19)</f>
        <v>96</v>
      </c>
      <c r="F42" s="66">
        <f>SKU!I19/1000</f>
        <v>3.1359999999999999E-2</v>
      </c>
      <c r="G42" s="62">
        <f>Модель!U22</f>
        <v>67</v>
      </c>
      <c r="H42" s="62">
        <f>IF(D42="FBS",Модель!AL22,0)</f>
        <v>5</v>
      </c>
      <c r="I42" s="62">
        <f>Модель!L22</f>
        <v>68.899771618358997</v>
      </c>
      <c r="J42" s="64">
        <f t="shared" si="1"/>
        <v>335</v>
      </c>
      <c r="K42" s="64">
        <f>IF(D42="FBS",Модель!BP22*F42*Модель!$C$48*$G$10*$L$6,0)</f>
        <v>18106.871999999999</v>
      </c>
      <c r="L42" s="64">
        <f t="shared" si="2"/>
        <v>603</v>
      </c>
      <c r="M42" s="64">
        <f t="shared" si="3"/>
        <v>1742</v>
      </c>
      <c r="N42" s="64">
        <f t="shared" si="4"/>
        <v>268</v>
      </c>
      <c r="O42" s="64">
        <f t="shared" si="5"/>
        <v>1675</v>
      </c>
      <c r="P42" s="64">
        <f t="shared" si="6"/>
        <v>290</v>
      </c>
      <c r="Q42" s="64">
        <f t="shared" si="7"/>
        <v>23019.871999999999</v>
      </c>
      <c r="R42" s="59"/>
    </row>
    <row r="43" spans="1:18" ht="55" customHeight="1" x14ac:dyDescent="0.15">
      <c r="A43" s="59"/>
      <c r="B43" s="1" t="str">
        <f>SKU!A20</f>
        <v>SM-0019</v>
      </c>
      <c r="C43" s="1" t="str">
        <f>SKU!B20</f>
        <v>Рюкзак туристический 60 л</v>
      </c>
      <c r="D43" s="1" t="str">
        <f>Модель!S23</f>
        <v>FBS</v>
      </c>
      <c r="E43" s="1">
        <f>SUM(SKU!F20:H20)</f>
        <v>125</v>
      </c>
      <c r="F43" s="66">
        <f>SKU!I20/1000</f>
        <v>5.6875000000000002E-2</v>
      </c>
      <c r="G43" s="62">
        <f>Модель!U23</f>
        <v>54</v>
      </c>
      <c r="H43" s="62">
        <f>IF(D43="FBS",Модель!AL23,0)</f>
        <v>5</v>
      </c>
      <c r="I43" s="62">
        <f>Модель!L23</f>
        <v>78.989017878729797</v>
      </c>
      <c r="J43" s="64">
        <f t="shared" si="1"/>
        <v>270</v>
      </c>
      <c r="K43" s="64">
        <f>IF(D43="FBS",Модель!BP23*F43*Модель!$C$48*$G$10*$L$6,0)</f>
        <v>29991.609375</v>
      </c>
      <c r="L43" s="64">
        <f t="shared" si="2"/>
        <v>486</v>
      </c>
      <c r="M43" s="64">
        <f t="shared" si="3"/>
        <v>1728</v>
      </c>
      <c r="N43" s="64">
        <f t="shared" si="4"/>
        <v>216</v>
      </c>
      <c r="O43" s="64">
        <f t="shared" si="5"/>
        <v>1350</v>
      </c>
      <c r="P43" s="64">
        <f t="shared" si="6"/>
        <v>290</v>
      </c>
      <c r="Q43" s="64">
        <f t="shared" si="7"/>
        <v>34331.609375</v>
      </c>
      <c r="R43" s="59"/>
    </row>
    <row r="44" spans="1:18" ht="55" customHeight="1" x14ac:dyDescent="0.15">
      <c r="A44" s="59"/>
      <c r="B44" s="1" t="str">
        <f>SKU!A21</f>
        <v>SM-0020</v>
      </c>
      <c r="C44" s="1" t="str">
        <f>SKU!B21</f>
        <v>Коврик туристический пенный</v>
      </c>
      <c r="D44" s="1" t="str">
        <f>Модель!S24</f>
        <v>Пауза</v>
      </c>
      <c r="E44" s="1">
        <f>SUM(SKU!F21:H21)</f>
        <v>92</v>
      </c>
      <c r="F44" s="66">
        <f>SKU!I21/1000</f>
        <v>1.5359999999999999E-2</v>
      </c>
      <c r="G44" s="62">
        <f>Модель!U24</f>
        <v>0</v>
      </c>
      <c r="H44" s="62">
        <f>IF(D44="FBS",Модель!AL24,0)</f>
        <v>0</v>
      </c>
      <c r="I44" s="62">
        <f>Модель!L24</f>
        <v>88.712522680790997</v>
      </c>
      <c r="J44" s="64">
        <f t="shared" si="1"/>
        <v>0</v>
      </c>
      <c r="K44" s="64">
        <f>IF(D44="FBS",Модель!BP24*F44*Модель!$C$48*$G$10*$L$6,0)</f>
        <v>0</v>
      </c>
      <c r="L44" s="64">
        <f t="shared" si="2"/>
        <v>0</v>
      </c>
      <c r="M44" s="64">
        <f t="shared" si="3"/>
        <v>0</v>
      </c>
      <c r="N44" s="64">
        <f t="shared" si="4"/>
        <v>0</v>
      </c>
      <c r="O44" s="64">
        <f t="shared" si="5"/>
        <v>0</v>
      </c>
      <c r="P44" s="64">
        <f t="shared" si="6"/>
        <v>0</v>
      </c>
      <c r="Q44" s="64">
        <f t="shared" si="7"/>
        <v>0</v>
      </c>
      <c r="R44" s="59"/>
    </row>
    <row r="45" spans="1:18" ht="55" customHeight="1" x14ac:dyDescent="0.15">
      <c r="A45" s="59"/>
      <c r="B45" s="1" t="str">
        <f>SKU!A22</f>
        <v>SM-0021</v>
      </c>
      <c r="C45" s="1" t="str">
        <f>SKU!B22</f>
        <v>Велотренажёр магнитный</v>
      </c>
      <c r="D45" s="1" t="str">
        <f>Модель!S25</f>
        <v>FBS</v>
      </c>
      <c r="E45" s="1">
        <f>SUM(SKU!F22:H22)</f>
        <v>172</v>
      </c>
      <c r="F45" s="66">
        <f>SKU!I22/1000</f>
        <v>0.13800000000000001</v>
      </c>
      <c r="G45" s="62">
        <f>Модель!U25</f>
        <v>24</v>
      </c>
      <c r="H45" s="62">
        <f>IF(D45="FBS",Модель!AL25,0)</f>
        <v>2</v>
      </c>
      <c r="I45" s="62">
        <f>Модель!L25</f>
        <v>75.361847430061744</v>
      </c>
      <c r="J45" s="64">
        <f t="shared" si="1"/>
        <v>120</v>
      </c>
      <c r="K45" s="64">
        <f>IF(D45="FBS",Модель!BP25*F45*Модель!$C$48*$G$10*$L$6,0)</f>
        <v>31319.1</v>
      </c>
      <c r="L45" s="64">
        <f t="shared" si="2"/>
        <v>216</v>
      </c>
      <c r="M45" s="64">
        <f t="shared" si="3"/>
        <v>768</v>
      </c>
      <c r="N45" s="64">
        <f t="shared" si="4"/>
        <v>96</v>
      </c>
      <c r="O45" s="64">
        <f t="shared" si="5"/>
        <v>600</v>
      </c>
      <c r="P45" s="64">
        <f t="shared" si="6"/>
        <v>116</v>
      </c>
      <c r="Q45" s="64">
        <f t="shared" si="7"/>
        <v>33235.1</v>
      </c>
      <c r="R45" s="59"/>
    </row>
    <row r="46" spans="1:18" ht="55" customHeight="1" x14ac:dyDescent="0.15">
      <c r="A46" s="59"/>
      <c r="B46" s="1" t="str">
        <f>SKU!A23</f>
        <v>SM-0022</v>
      </c>
      <c r="C46" s="1" t="str">
        <f>SKU!B23</f>
        <v>Беговая дорожка складная</v>
      </c>
      <c r="D46" s="1" t="str">
        <f>Модель!S26</f>
        <v>FBS</v>
      </c>
      <c r="E46" s="1">
        <f>SUM(SKU!F23:H23)</f>
        <v>262</v>
      </c>
      <c r="F46" s="66">
        <f>SKU!I23/1000</f>
        <v>0.34560000000000002</v>
      </c>
      <c r="G46" s="62">
        <f>Модель!U26</f>
        <v>11</v>
      </c>
      <c r="H46" s="62">
        <f>IF(D46="FBS",Модель!AL26,0)</f>
        <v>1</v>
      </c>
      <c r="I46" s="62">
        <f>Модель!L26</f>
        <v>75.361847430061744</v>
      </c>
      <c r="J46" s="64">
        <f t="shared" si="1"/>
        <v>55</v>
      </c>
      <c r="K46" s="64">
        <f>IF(D46="FBS",Модель!BP26*F46*Модель!$C$48*$G$10*$L$6,0)</f>
        <v>38063.519999999997</v>
      </c>
      <c r="L46" s="64">
        <f t="shared" si="2"/>
        <v>99</v>
      </c>
      <c r="M46" s="64">
        <f t="shared" si="3"/>
        <v>352</v>
      </c>
      <c r="N46" s="64">
        <f t="shared" si="4"/>
        <v>44</v>
      </c>
      <c r="O46" s="64">
        <f t="shared" si="5"/>
        <v>275</v>
      </c>
      <c r="P46" s="64">
        <f t="shared" si="6"/>
        <v>58</v>
      </c>
      <c r="Q46" s="64">
        <f t="shared" si="7"/>
        <v>38946.519999999997</v>
      </c>
      <c r="R46" s="59"/>
    </row>
    <row r="47" spans="1:18" ht="55" customHeight="1" x14ac:dyDescent="0.15">
      <c r="A47" s="59"/>
      <c r="B47" s="1" t="str">
        <f>SKU!A24</f>
        <v>SM-0023</v>
      </c>
      <c r="C47" s="1" t="str">
        <f>SKU!B24</f>
        <v>Батут каркасный 305 см</v>
      </c>
      <c r="D47" s="1" t="str">
        <f>Модель!S27</f>
        <v>FBS</v>
      </c>
      <c r="E47" s="1">
        <f>SUM(SKU!F24:H24)</f>
        <v>228</v>
      </c>
      <c r="F47" s="66">
        <f>SKU!I24/1000</f>
        <v>0.22800000000000001</v>
      </c>
      <c r="G47" s="62">
        <f>Модель!U27</f>
        <v>14</v>
      </c>
      <c r="H47" s="62">
        <f>IF(D47="FBS",Модель!AL27,0)</f>
        <v>1</v>
      </c>
      <c r="I47" s="62">
        <f>Модель!L27</f>
        <v>75.361847430061744</v>
      </c>
      <c r="J47" s="64">
        <f t="shared" si="1"/>
        <v>70</v>
      </c>
      <c r="K47" s="64">
        <f>IF(D47="FBS",Модель!BP27*F47*Модель!$C$48*$G$10*$L$6,0)</f>
        <v>31198.95</v>
      </c>
      <c r="L47" s="64">
        <f t="shared" si="2"/>
        <v>126</v>
      </c>
      <c r="M47" s="64">
        <f t="shared" si="3"/>
        <v>448</v>
      </c>
      <c r="N47" s="64">
        <f t="shared" si="4"/>
        <v>56</v>
      </c>
      <c r="O47" s="64">
        <f t="shared" si="5"/>
        <v>350</v>
      </c>
      <c r="P47" s="64">
        <f t="shared" si="6"/>
        <v>58</v>
      </c>
      <c r="Q47" s="64">
        <f t="shared" si="7"/>
        <v>32306.95</v>
      </c>
      <c r="R47" s="59"/>
    </row>
    <row r="48" spans="1:18" ht="55" customHeight="1" x14ac:dyDescent="0.15">
      <c r="A48" s="59"/>
      <c r="B48" s="1" t="str">
        <f>SKU!A25</f>
        <v>SM-0024</v>
      </c>
      <c r="C48" s="1" t="str">
        <f>SKU!B25</f>
        <v>SUP-доска надувная</v>
      </c>
      <c r="D48" s="1" t="str">
        <f>Модель!S28</f>
        <v>FBS</v>
      </c>
      <c r="E48" s="1">
        <f>SUM(SKU!F25:H25)</f>
        <v>170</v>
      </c>
      <c r="F48" s="66">
        <f>SKU!I25/1000</f>
        <v>0.12825</v>
      </c>
      <c r="G48" s="62">
        <f>Модель!U28</f>
        <v>19</v>
      </c>
      <c r="H48" s="62">
        <f>IF(D48="FBS",Модель!AL28,0)</f>
        <v>2</v>
      </c>
      <c r="I48" s="62">
        <f>Модель!L28</f>
        <v>75.361847430061744</v>
      </c>
      <c r="J48" s="64">
        <f t="shared" si="1"/>
        <v>95</v>
      </c>
      <c r="K48" s="64">
        <f>IF(D48="FBS",Модель!BP28*F48*Модель!$C$48*$G$10*$L$6,0)</f>
        <v>23969.925000000003</v>
      </c>
      <c r="L48" s="64">
        <f t="shared" si="2"/>
        <v>171</v>
      </c>
      <c r="M48" s="64">
        <f t="shared" si="3"/>
        <v>608</v>
      </c>
      <c r="N48" s="64">
        <f t="shared" si="4"/>
        <v>76</v>
      </c>
      <c r="O48" s="64">
        <f t="shared" si="5"/>
        <v>475</v>
      </c>
      <c r="P48" s="64">
        <f t="shared" si="6"/>
        <v>116</v>
      </c>
      <c r="Q48" s="64">
        <f t="shared" si="7"/>
        <v>25510.925000000003</v>
      </c>
      <c r="R48" s="59"/>
    </row>
    <row r="49" spans="1:18" ht="55" customHeight="1" x14ac:dyDescent="0.15">
      <c r="A49" s="59"/>
      <c r="B49" s="1" t="str">
        <f>SKU!A26</f>
        <v>SM-0025</v>
      </c>
      <c r="C49" s="1" t="str">
        <f>SKU!B26</f>
        <v>Каяк надувной 2-местный</v>
      </c>
      <c r="D49" s="1" t="str">
        <f>Модель!S29</f>
        <v>FBS</v>
      </c>
      <c r="E49" s="1">
        <f>SUM(SKU!F26:H26)</f>
        <v>187</v>
      </c>
      <c r="F49" s="66">
        <f>SKU!I26/1000</f>
        <v>0.182</v>
      </c>
      <c r="G49" s="62">
        <f>Модель!U29</f>
        <v>8</v>
      </c>
      <c r="H49" s="62">
        <f>IF(D49="FBS",Модель!AL29,0)</f>
        <v>1</v>
      </c>
      <c r="I49" s="62">
        <f>Модель!L29</f>
        <v>75.361847430061744</v>
      </c>
      <c r="J49" s="64">
        <f t="shared" si="1"/>
        <v>40</v>
      </c>
      <c r="K49" s="64">
        <f>IF(D49="FBS",Модель!BP29*F49*Модель!$C$48*$G$10*$L$6,0)</f>
        <v>13970.774999999998</v>
      </c>
      <c r="L49" s="64">
        <f t="shared" si="2"/>
        <v>72</v>
      </c>
      <c r="M49" s="64">
        <f t="shared" si="3"/>
        <v>256</v>
      </c>
      <c r="N49" s="64">
        <f t="shared" si="4"/>
        <v>32</v>
      </c>
      <c r="O49" s="64">
        <f t="shared" si="5"/>
        <v>200</v>
      </c>
      <c r="P49" s="64">
        <f t="shared" si="6"/>
        <v>58</v>
      </c>
      <c r="Q49" s="64">
        <f t="shared" si="7"/>
        <v>14628.774999999998</v>
      </c>
      <c r="R49" s="59"/>
    </row>
    <row r="50" spans="1:18" ht="55" customHeight="1" x14ac:dyDescent="0.15">
      <c r="A50" s="59"/>
      <c r="B50" s="1" t="str">
        <f>SKU!A27</f>
        <v>SM-0026</v>
      </c>
      <c r="C50" s="1" t="str">
        <f>SKU!B27</f>
        <v>Стол теннисный складной</v>
      </c>
      <c r="D50" s="1" t="str">
        <f>Модель!S30</f>
        <v>FBS</v>
      </c>
      <c r="E50" s="1">
        <f>SUM(SKU!F27:H27)</f>
        <v>314</v>
      </c>
      <c r="F50" s="66">
        <f>SKU!I27/1000</f>
        <v>0.27263999999999999</v>
      </c>
      <c r="G50" s="62">
        <f>Модель!U30</f>
        <v>6</v>
      </c>
      <c r="H50" s="62">
        <f>IF(D50="FBS",Модель!AL30,0)</f>
        <v>1</v>
      </c>
      <c r="I50" s="62">
        <f>Модель!L30</f>
        <v>75.361847430061744</v>
      </c>
      <c r="J50" s="64">
        <f t="shared" si="1"/>
        <v>30</v>
      </c>
      <c r="K50" s="64">
        <f>IF(D50="FBS",Модель!BP30*F50*Модель!$C$48*$G$10*$L$6,0)</f>
        <v>16378.847999999998</v>
      </c>
      <c r="L50" s="64">
        <f t="shared" si="2"/>
        <v>54</v>
      </c>
      <c r="M50" s="64">
        <f t="shared" si="3"/>
        <v>192</v>
      </c>
      <c r="N50" s="64">
        <f t="shared" si="4"/>
        <v>24</v>
      </c>
      <c r="O50" s="64">
        <f t="shared" si="5"/>
        <v>150</v>
      </c>
      <c r="P50" s="64">
        <f t="shared" si="6"/>
        <v>58</v>
      </c>
      <c r="Q50" s="64">
        <f t="shared" si="7"/>
        <v>16886.847999999998</v>
      </c>
      <c r="R50" s="59"/>
    </row>
    <row r="51" spans="1:18" ht="55" customHeight="1" x14ac:dyDescent="0.15">
      <c r="A51" s="59"/>
      <c r="B51" s="1" t="str">
        <f>SKU!A28</f>
        <v>SM-0027</v>
      </c>
      <c r="C51" s="1" t="str">
        <f>SKU!B28</f>
        <v>Шведская стенка деревянная</v>
      </c>
      <c r="D51" s="1" t="str">
        <f>Модель!S31</f>
        <v>FBS</v>
      </c>
      <c r="E51" s="1">
        <f>SUM(SKU!F28:H28)</f>
        <v>290</v>
      </c>
      <c r="F51" s="66">
        <f>SKU!I28/1000</f>
        <v>0.123904</v>
      </c>
      <c r="G51" s="62">
        <f>Модель!U31</f>
        <v>9</v>
      </c>
      <c r="H51" s="62">
        <f>IF(D51="FBS",Модель!AL31,0)</f>
        <v>1</v>
      </c>
      <c r="I51" s="62">
        <f>Модель!L31</f>
        <v>75.361847430061744</v>
      </c>
      <c r="J51" s="64">
        <f t="shared" si="1"/>
        <v>45</v>
      </c>
      <c r="K51" s="64">
        <f>IF(D51="FBS",Модель!BP31*F51*Модель!$C$48*$G$10*$L$6,0)</f>
        <v>11578.828799999999</v>
      </c>
      <c r="L51" s="64">
        <f t="shared" si="2"/>
        <v>81</v>
      </c>
      <c r="M51" s="64">
        <f t="shared" si="3"/>
        <v>288</v>
      </c>
      <c r="N51" s="64">
        <f t="shared" si="4"/>
        <v>36</v>
      </c>
      <c r="O51" s="64">
        <f t="shared" si="5"/>
        <v>225</v>
      </c>
      <c r="P51" s="64">
        <f t="shared" si="6"/>
        <v>58</v>
      </c>
      <c r="Q51" s="64">
        <f t="shared" si="7"/>
        <v>12311.828799999999</v>
      </c>
      <c r="R51" s="59"/>
    </row>
    <row r="52" spans="1:18" ht="55" customHeight="1" x14ac:dyDescent="0.15">
      <c r="A52" s="59"/>
      <c r="B52" s="1" t="str">
        <f>SKU!A29</f>
        <v>SM-0028</v>
      </c>
      <c r="C52" s="1" t="str">
        <f>SKU!B29</f>
        <v>Ласты тренировочные</v>
      </c>
      <c r="D52" s="1" t="str">
        <f>Модель!S32</f>
        <v>FBS</v>
      </c>
      <c r="E52" s="1">
        <f>SUM(SKU!F29:H29)</f>
        <v>78</v>
      </c>
      <c r="F52" s="66">
        <f>SKU!I29/1000</f>
        <v>8.4480000000000006E-3</v>
      </c>
      <c r="G52" s="62">
        <f>Модель!U32</f>
        <v>24</v>
      </c>
      <c r="H52" s="62">
        <f>IF(D52="FBS",Модель!AL32,0)</f>
        <v>2</v>
      </c>
      <c r="I52" s="62">
        <f>Модель!L32</f>
        <v>75.361847430061744</v>
      </c>
      <c r="J52" s="64">
        <f t="shared" si="1"/>
        <v>120</v>
      </c>
      <c r="K52" s="64">
        <f>IF(D52="FBS",Модель!BP32*F52*Модель!$C$48*$G$10*$L$6,0)</f>
        <v>1917.2736</v>
      </c>
      <c r="L52" s="64">
        <f t="shared" si="2"/>
        <v>216</v>
      </c>
      <c r="M52" s="64">
        <f t="shared" si="3"/>
        <v>480</v>
      </c>
      <c r="N52" s="64">
        <f t="shared" si="4"/>
        <v>96</v>
      </c>
      <c r="O52" s="64">
        <f t="shared" si="5"/>
        <v>600</v>
      </c>
      <c r="P52" s="64">
        <f t="shared" si="6"/>
        <v>116</v>
      </c>
      <c r="Q52" s="64">
        <f t="shared" si="7"/>
        <v>3545.2736</v>
      </c>
      <c r="R52" s="59"/>
    </row>
    <row r="53" spans="1:18" ht="55" customHeight="1" x14ac:dyDescent="0.15">
      <c r="A53" s="59"/>
      <c r="B53" s="1" t="str">
        <f>SKU!A30</f>
        <v>SM-0029</v>
      </c>
      <c r="C53" s="1" t="str">
        <f>SKU!B30</f>
        <v>Очки для плавания стартовые</v>
      </c>
      <c r="D53" s="1" t="str">
        <f>Модель!S33</f>
        <v>FBO</v>
      </c>
      <c r="E53" s="1">
        <f>SUM(SKU!F30:H30)</f>
        <v>28</v>
      </c>
      <c r="F53" s="66">
        <f>SKU!I30/1000</f>
        <v>6.3000000000000003E-4</v>
      </c>
      <c r="G53" s="62">
        <f>Модель!U33</f>
        <v>0</v>
      </c>
      <c r="H53" s="62">
        <f>IF(D53="FBS",Модель!AL33,0)</f>
        <v>0</v>
      </c>
      <c r="I53" s="62">
        <f>Модель!L33</f>
        <v>75.361847430061744</v>
      </c>
      <c r="J53" s="64">
        <f t="shared" si="1"/>
        <v>0</v>
      </c>
      <c r="K53" s="64">
        <f>IF(D53="FBS",Модель!BP33*F53*Модель!$C$48*$G$10*$L$6,0)</f>
        <v>0</v>
      </c>
      <c r="L53" s="64">
        <f t="shared" si="2"/>
        <v>0</v>
      </c>
      <c r="M53" s="64">
        <f t="shared" si="3"/>
        <v>0</v>
      </c>
      <c r="N53" s="64">
        <f t="shared" si="4"/>
        <v>0</v>
      </c>
      <c r="O53" s="64">
        <f t="shared" si="5"/>
        <v>0</v>
      </c>
      <c r="P53" s="64">
        <f t="shared" si="6"/>
        <v>0</v>
      </c>
      <c r="Q53" s="64">
        <f t="shared" si="7"/>
        <v>0</v>
      </c>
      <c r="R53" s="59"/>
    </row>
    <row r="54" spans="1:18" ht="55" customHeight="1" x14ac:dyDescent="0.15">
      <c r="A54" s="59"/>
      <c r="B54" s="1" t="str">
        <f>SKU!A31</f>
        <v>SM-0030</v>
      </c>
      <c r="C54" s="1" t="str">
        <f>SKU!B31</f>
        <v>Перчатки боксёрские 14 oz</v>
      </c>
      <c r="D54" s="1" t="str">
        <f>Модель!S34</f>
        <v>FBO</v>
      </c>
      <c r="E54" s="1">
        <f>SUM(SKU!F31:H31)</f>
        <v>68</v>
      </c>
      <c r="F54" s="66">
        <f>SKU!I31/1000</f>
        <v>9.1000000000000004E-3</v>
      </c>
      <c r="G54" s="62">
        <f>Модель!U34</f>
        <v>0</v>
      </c>
      <c r="H54" s="62">
        <f>IF(D54="FBS",Модель!AL34,0)</f>
        <v>0</v>
      </c>
      <c r="I54" s="62">
        <f>Модель!L34</f>
        <v>75.361847430061744</v>
      </c>
      <c r="J54" s="64">
        <f t="shared" si="1"/>
        <v>0</v>
      </c>
      <c r="K54" s="64">
        <f>IF(D54="FBS",Модель!BP34*F54*Модель!$C$48*$G$10*$L$6,0)</f>
        <v>0</v>
      </c>
      <c r="L54" s="64">
        <f t="shared" si="2"/>
        <v>0</v>
      </c>
      <c r="M54" s="64">
        <f t="shared" si="3"/>
        <v>0</v>
      </c>
      <c r="N54" s="64">
        <f t="shared" si="4"/>
        <v>0</v>
      </c>
      <c r="O54" s="64">
        <f t="shared" si="5"/>
        <v>0</v>
      </c>
      <c r="P54" s="64">
        <f t="shared" si="6"/>
        <v>0</v>
      </c>
      <c r="Q54" s="64">
        <f t="shared" si="7"/>
        <v>0</v>
      </c>
      <c r="R54" s="59"/>
    </row>
    <row r="55" spans="1:18" ht="55" customHeight="1" x14ac:dyDescent="0.15">
      <c r="A55" s="59"/>
      <c r="B55" s="1" t="str">
        <f>SKU!A32</f>
        <v>SM-0031</v>
      </c>
      <c r="C55" s="1" t="str">
        <f>SKU!B32</f>
        <v>Шлем горнолыжный</v>
      </c>
      <c r="D55" s="1" t="str">
        <f>Модель!S35</f>
        <v>FBS</v>
      </c>
      <c r="E55" s="1">
        <f>SUM(SKU!F32:H32)</f>
        <v>79</v>
      </c>
      <c r="F55" s="66">
        <f>SKU!I32/1000</f>
        <v>1.7999999999999999E-2</v>
      </c>
      <c r="G55" s="62">
        <f>Модель!U35</f>
        <v>15</v>
      </c>
      <c r="H55" s="62">
        <f>IF(D55="FBS",Модель!AL35,0)</f>
        <v>2</v>
      </c>
      <c r="I55" s="62">
        <f>Модель!L35</f>
        <v>75.361847430061744</v>
      </c>
      <c r="J55" s="64">
        <f t="shared" si="1"/>
        <v>75</v>
      </c>
      <c r="K55" s="64">
        <f>IF(D55="FBS",Модель!BP35*F55*Модель!$C$48*$G$10*$L$6,0)</f>
        <v>2583.2249999999999</v>
      </c>
      <c r="L55" s="64">
        <f t="shared" si="2"/>
        <v>135</v>
      </c>
      <c r="M55" s="64">
        <f t="shared" si="3"/>
        <v>300</v>
      </c>
      <c r="N55" s="64">
        <f t="shared" si="4"/>
        <v>60</v>
      </c>
      <c r="O55" s="64">
        <f t="shared" si="5"/>
        <v>375</v>
      </c>
      <c r="P55" s="64">
        <f t="shared" si="6"/>
        <v>116</v>
      </c>
      <c r="Q55" s="64">
        <f t="shared" si="7"/>
        <v>3644.2249999999999</v>
      </c>
      <c r="R55" s="59"/>
    </row>
    <row r="56" spans="1:18" ht="55" customHeight="1" x14ac:dyDescent="0.15">
      <c r="A56" s="59"/>
      <c r="B56" s="1" t="str">
        <f>SKU!A33</f>
        <v>SM-0032</v>
      </c>
      <c r="C56" s="1" t="str">
        <f>SKU!B33</f>
        <v>Крепления для сноуборда</v>
      </c>
      <c r="D56" s="1" t="str">
        <f>Модель!S36</f>
        <v>FBO</v>
      </c>
      <c r="E56" s="1">
        <f>SUM(SKU!F33:H33)</f>
        <v>80</v>
      </c>
      <c r="F56" s="66">
        <f>SKU!I33/1000</f>
        <v>1.456E-2</v>
      </c>
      <c r="G56" s="62">
        <f>Модель!U36</f>
        <v>0</v>
      </c>
      <c r="H56" s="62">
        <f>IF(D56="FBS",Модель!AL36,0)</f>
        <v>0</v>
      </c>
      <c r="I56" s="62">
        <f>Модель!L36</f>
        <v>75.361847430061744</v>
      </c>
      <c r="J56" s="64">
        <f t="shared" si="1"/>
        <v>0</v>
      </c>
      <c r="K56" s="64">
        <f>IF(D56="FBS",Модель!BP36*F56*Модель!$C$48*$G$10*$L$6,0)</f>
        <v>0</v>
      </c>
      <c r="L56" s="64">
        <f t="shared" si="2"/>
        <v>0</v>
      </c>
      <c r="M56" s="64">
        <f t="shared" si="3"/>
        <v>0</v>
      </c>
      <c r="N56" s="64">
        <f t="shared" si="4"/>
        <v>0</v>
      </c>
      <c r="O56" s="64">
        <f t="shared" si="5"/>
        <v>0</v>
      </c>
      <c r="P56" s="64">
        <f t="shared" si="6"/>
        <v>0</v>
      </c>
      <c r="Q56" s="64">
        <f t="shared" si="7"/>
        <v>0</v>
      </c>
      <c r="R56" s="59"/>
    </row>
    <row r="57" spans="1:18" ht="55" customHeight="1" x14ac:dyDescent="0.15">
      <c r="A57" s="59"/>
      <c r="B57" s="1" t="str">
        <f>SKU!A34</f>
        <v>SM-0033</v>
      </c>
      <c r="C57" s="1" t="str">
        <f>SKU!B34</f>
        <v>Бутылка спортивная 0,7 л</v>
      </c>
      <c r="D57" s="1" t="str">
        <f>Модель!S37</f>
        <v>FBO</v>
      </c>
      <c r="E57" s="1">
        <f>SUM(SKU!F34:H34)</f>
        <v>42</v>
      </c>
      <c r="F57" s="66">
        <f>SKU!I34/1000</f>
        <v>1.6639999999999999E-3</v>
      </c>
      <c r="G57" s="62">
        <f>Модель!U37</f>
        <v>0</v>
      </c>
      <c r="H57" s="62">
        <f>IF(D57="FBS",Модель!AL37,0)</f>
        <v>0</v>
      </c>
      <c r="I57" s="62">
        <f>Модель!L37</f>
        <v>92.494762942359799</v>
      </c>
      <c r="J57" s="64">
        <f t="shared" si="1"/>
        <v>0</v>
      </c>
      <c r="K57" s="64">
        <f>IF(D57="FBS",Модель!BP37*F57*Модель!$C$48*$G$10*$L$6,0)</f>
        <v>0</v>
      </c>
      <c r="L57" s="64">
        <f t="shared" si="2"/>
        <v>0</v>
      </c>
      <c r="M57" s="64">
        <f t="shared" si="3"/>
        <v>0</v>
      </c>
      <c r="N57" s="64">
        <f t="shared" si="4"/>
        <v>0</v>
      </c>
      <c r="O57" s="64">
        <f t="shared" si="5"/>
        <v>0</v>
      </c>
      <c r="P57" s="64">
        <f t="shared" si="6"/>
        <v>0</v>
      </c>
      <c r="Q57" s="64">
        <f t="shared" si="7"/>
        <v>0</v>
      </c>
      <c r="R57" s="59"/>
    </row>
    <row r="58" spans="1:18" ht="55" customHeight="1" x14ac:dyDescent="0.15">
      <c r="A58" s="59"/>
      <c r="B58" s="1" t="str">
        <f>SKU!A35</f>
        <v>SM-0034</v>
      </c>
      <c r="C58" s="1" t="str">
        <f>SKU!B35</f>
        <v>Носки спортивные (3 пары)</v>
      </c>
      <c r="D58" s="1" t="str">
        <f>Модель!S38</f>
        <v>FBO</v>
      </c>
      <c r="E58" s="1">
        <f>SUM(SKU!F35:H35)</f>
        <v>36</v>
      </c>
      <c r="F58" s="66">
        <f>SKU!I35/1000</f>
        <v>9.5999999999999992E-4</v>
      </c>
      <c r="G58" s="62">
        <f>Модель!U38</f>
        <v>0</v>
      </c>
      <c r="H58" s="62">
        <f>IF(D58="FBS",Модель!AL38,0)</f>
        <v>0</v>
      </c>
      <c r="I58" s="62">
        <f>Модель!L38</f>
        <v>59.7839107128273</v>
      </c>
      <c r="J58" s="64">
        <f t="shared" si="1"/>
        <v>0</v>
      </c>
      <c r="K58" s="64">
        <f>IF(D58="FBS",Модель!BP38*F58*Модель!$C$48*$G$10*$L$6,0)</f>
        <v>0</v>
      </c>
      <c r="L58" s="64">
        <f t="shared" si="2"/>
        <v>0</v>
      </c>
      <c r="M58" s="64">
        <f t="shared" si="3"/>
        <v>0</v>
      </c>
      <c r="N58" s="64">
        <f t="shared" si="4"/>
        <v>0</v>
      </c>
      <c r="O58" s="64">
        <f t="shared" si="5"/>
        <v>0</v>
      </c>
      <c r="P58" s="64">
        <f t="shared" si="6"/>
        <v>0</v>
      </c>
      <c r="Q58" s="64">
        <f t="shared" si="7"/>
        <v>0</v>
      </c>
      <c r="R58" s="59"/>
    </row>
    <row r="59" spans="1:18" ht="55" customHeight="1" x14ac:dyDescent="0.15">
      <c r="A59" s="59"/>
      <c r="B59" s="1" t="str">
        <f>SKU!A36</f>
        <v>SM-0035</v>
      </c>
      <c r="C59" s="1" t="str">
        <f>SKU!B36</f>
        <v>Перчатки для фитнеса</v>
      </c>
      <c r="D59" s="1" t="str">
        <f>Модель!S39</f>
        <v>FBO</v>
      </c>
      <c r="E59" s="1">
        <f>SUM(SKU!F36:H36)</f>
        <v>33</v>
      </c>
      <c r="F59" s="66">
        <f>SKU!I36/1000</f>
        <v>6.4800000000000003E-4</v>
      </c>
      <c r="G59" s="62">
        <f>Модель!U39</f>
        <v>0</v>
      </c>
      <c r="H59" s="62">
        <f>IF(D59="FBS",Модель!AL39,0)</f>
        <v>0</v>
      </c>
      <c r="I59" s="62">
        <f>Модель!L39</f>
        <v>77.854435299336998</v>
      </c>
      <c r="J59" s="64">
        <f t="shared" si="1"/>
        <v>0</v>
      </c>
      <c r="K59" s="64">
        <f>IF(D59="FBS",Модель!BP39*F59*Модель!$C$48*$G$10*$L$6,0)</f>
        <v>0</v>
      </c>
      <c r="L59" s="64">
        <f t="shared" si="2"/>
        <v>0</v>
      </c>
      <c r="M59" s="64">
        <f t="shared" si="3"/>
        <v>0</v>
      </c>
      <c r="N59" s="64">
        <f t="shared" si="4"/>
        <v>0</v>
      </c>
      <c r="O59" s="64">
        <f t="shared" si="5"/>
        <v>0</v>
      </c>
      <c r="P59" s="64">
        <f t="shared" si="6"/>
        <v>0</v>
      </c>
      <c r="Q59" s="64">
        <f t="shared" si="7"/>
        <v>0</v>
      </c>
      <c r="R59" s="59"/>
    </row>
    <row r="60" spans="1:18" ht="55" customHeight="1" x14ac:dyDescent="0.15">
      <c r="A60" s="59"/>
      <c r="B60" s="1" t="str">
        <f>SKU!A37</f>
        <v>SM-0036</v>
      </c>
      <c r="C60" s="1" t="str">
        <f>SKU!B37</f>
        <v>Рюкзак городской 22 л</v>
      </c>
      <c r="D60" s="1" t="str">
        <f>Модель!S40</f>
        <v>FBS</v>
      </c>
      <c r="E60" s="1">
        <f>SUM(SKU!F37:H37)</f>
        <v>91</v>
      </c>
      <c r="F60" s="66">
        <f>SKU!I37/1000</f>
        <v>2.1600000000000001E-2</v>
      </c>
      <c r="G60" s="62">
        <f>Модель!U40</f>
        <v>186</v>
      </c>
      <c r="H60" s="62">
        <f>IF(D60="FBS",Модель!AL40,0)</f>
        <v>15</v>
      </c>
      <c r="I60" s="62">
        <f>Модель!L40</f>
        <v>61.072119753919999</v>
      </c>
      <c r="J60" s="64">
        <f t="shared" si="1"/>
        <v>930</v>
      </c>
      <c r="K60" s="64">
        <f>IF(D60="FBS",Модель!BP40*F60*Модель!$C$48*$G$10*$L$6,0)</f>
        <v>30421.980000000003</v>
      </c>
      <c r="L60" s="64">
        <f t="shared" si="2"/>
        <v>1674</v>
      </c>
      <c r="M60" s="64">
        <f t="shared" si="3"/>
        <v>4836</v>
      </c>
      <c r="N60" s="64">
        <f t="shared" si="4"/>
        <v>744</v>
      </c>
      <c r="O60" s="64">
        <f t="shared" si="5"/>
        <v>4650</v>
      </c>
      <c r="P60" s="64">
        <f t="shared" si="6"/>
        <v>870</v>
      </c>
      <c r="Q60" s="64">
        <f t="shared" si="7"/>
        <v>44125.98</v>
      </c>
      <c r="R60" s="59"/>
    </row>
    <row r="61" spans="1:18" ht="55" customHeight="1" x14ac:dyDescent="0.15">
      <c r="A61" s="59"/>
      <c r="B61" s="1" t="str">
        <f>SKU!A38</f>
        <v>SM-0037</v>
      </c>
      <c r="C61" s="1" t="str">
        <f>SKU!B38</f>
        <v>Сумка спортивная 45 л</v>
      </c>
      <c r="D61" s="1" t="str">
        <f>Модель!S41</f>
        <v>Пауза</v>
      </c>
      <c r="E61" s="1">
        <f>SUM(SKU!F38:H38)</f>
        <v>111</v>
      </c>
      <c r="F61" s="66">
        <f>SKU!I38/1000</f>
        <v>4.3119999999999999E-2</v>
      </c>
      <c r="G61" s="62">
        <f>Модель!U41</f>
        <v>0</v>
      </c>
      <c r="H61" s="62">
        <f>IF(D61="FBS",Модель!AL41,0)</f>
        <v>0</v>
      </c>
      <c r="I61" s="62">
        <f>Модель!L41</f>
        <v>69.625232455424296</v>
      </c>
      <c r="J61" s="64">
        <f t="shared" si="1"/>
        <v>0</v>
      </c>
      <c r="K61" s="64">
        <f>IF(D61="FBS",Модель!BP41*F61*Модель!$C$48*$G$10*$L$6,0)</f>
        <v>0</v>
      </c>
      <c r="L61" s="64">
        <f t="shared" si="2"/>
        <v>0</v>
      </c>
      <c r="M61" s="64">
        <f t="shared" si="3"/>
        <v>0</v>
      </c>
      <c r="N61" s="64">
        <f t="shared" si="4"/>
        <v>0</v>
      </c>
      <c r="O61" s="64">
        <f t="shared" si="5"/>
        <v>0</v>
      </c>
      <c r="P61" s="64">
        <f t="shared" si="6"/>
        <v>0</v>
      </c>
      <c r="Q61" s="64">
        <f t="shared" si="7"/>
        <v>0</v>
      </c>
      <c r="R61" s="59"/>
    </row>
    <row r="62" spans="1:18" ht="55" customHeight="1" x14ac:dyDescent="0.15">
      <c r="A62" s="59"/>
      <c r="B62" s="1" t="str">
        <f>SKU!A39</f>
        <v>SM-0038</v>
      </c>
      <c r="C62" s="1" t="str">
        <f>SKU!B39</f>
        <v>Мяч футбольный (без накачки)</v>
      </c>
      <c r="D62" s="1" t="str">
        <f>Модель!S42</f>
        <v>FBO</v>
      </c>
      <c r="E62" s="1">
        <f>SUM(SKU!F39:H39)</f>
        <v>58</v>
      </c>
      <c r="F62" s="66">
        <f>SKU!I39/1000</f>
        <v>6.3479999999999995E-3</v>
      </c>
      <c r="G62" s="62">
        <f>Модель!U42</f>
        <v>0</v>
      </c>
      <c r="H62" s="62">
        <f>IF(D62="FBS",Модель!AL42,0)</f>
        <v>0</v>
      </c>
      <c r="I62" s="62">
        <f>Модель!L42</f>
        <v>73.412177068176007</v>
      </c>
      <c r="J62" s="64">
        <f t="shared" si="1"/>
        <v>0</v>
      </c>
      <c r="K62" s="64">
        <f>IF(D62="FBS",Модель!BP42*F62*Модель!$C$48*$G$10*$L$6,0)</f>
        <v>0</v>
      </c>
      <c r="L62" s="64">
        <f t="shared" si="2"/>
        <v>0</v>
      </c>
      <c r="M62" s="64">
        <f t="shared" si="3"/>
        <v>0</v>
      </c>
      <c r="N62" s="64">
        <f t="shared" si="4"/>
        <v>0</v>
      </c>
      <c r="O62" s="64">
        <f t="shared" si="5"/>
        <v>0</v>
      </c>
      <c r="P62" s="64">
        <f t="shared" si="6"/>
        <v>0</v>
      </c>
      <c r="Q62" s="64">
        <f t="shared" si="7"/>
        <v>0</v>
      </c>
      <c r="R62" s="59"/>
    </row>
    <row r="63" spans="1:18" ht="55" customHeight="1" x14ac:dyDescent="0.15">
      <c r="A63" s="59"/>
      <c r="B63" s="1" t="str">
        <f>SKU!A40</f>
        <v>SM-0039</v>
      </c>
      <c r="C63" s="1" t="str">
        <f>SKU!B40</f>
        <v>Мяч баскетбольный</v>
      </c>
      <c r="D63" s="1" t="str">
        <f>Модель!S43</f>
        <v>FBS</v>
      </c>
      <c r="E63" s="1">
        <f>SUM(SKU!F40:H40)</f>
        <v>63</v>
      </c>
      <c r="F63" s="66">
        <f>SKU!I40/1000</f>
        <v>8.1250000000000003E-3</v>
      </c>
      <c r="G63" s="62">
        <f>Модель!U43</f>
        <v>122</v>
      </c>
      <c r="H63" s="62">
        <f>IF(D63="FBS",Модель!AL43,0)</f>
        <v>5</v>
      </c>
      <c r="I63" s="62">
        <f>Модель!L43</f>
        <v>102.70632640284499</v>
      </c>
      <c r="J63" s="64">
        <f t="shared" si="1"/>
        <v>610</v>
      </c>
      <c r="K63" s="64">
        <f>IF(D63="FBS",Модель!BP43*F63*Модель!$C$48*$G$10*$L$6,0)</f>
        <v>12636.609375</v>
      </c>
      <c r="L63" s="64">
        <f t="shared" si="2"/>
        <v>1098</v>
      </c>
      <c r="M63" s="64">
        <f t="shared" si="3"/>
        <v>1952</v>
      </c>
      <c r="N63" s="64">
        <f t="shared" si="4"/>
        <v>488</v>
      </c>
      <c r="O63" s="64">
        <f t="shared" si="5"/>
        <v>3050</v>
      </c>
      <c r="P63" s="64">
        <f t="shared" si="6"/>
        <v>290</v>
      </c>
      <c r="Q63" s="64">
        <f t="shared" si="7"/>
        <v>20124.609375</v>
      </c>
      <c r="R63" s="59"/>
    </row>
    <row r="64" spans="1:18" ht="55" customHeight="1" x14ac:dyDescent="0.15">
      <c r="A64" s="59"/>
      <c r="B64" s="1" t="str">
        <f>SKU!A41</f>
        <v>SM-0040</v>
      </c>
      <c r="C64" s="1" t="str">
        <f>SKU!B41</f>
        <v>Ролики раздвижные р. 38–41</v>
      </c>
      <c r="D64" s="1" t="str">
        <f>Модель!S44</f>
        <v>FBS</v>
      </c>
      <c r="E64" s="1">
        <f>SUM(SKU!F41:H41)</f>
        <v>87</v>
      </c>
      <c r="F64" s="66">
        <f>SKU!I41/1000</f>
        <v>1.6800000000000002E-2</v>
      </c>
      <c r="G64" s="62">
        <f>Модель!U44</f>
        <v>45</v>
      </c>
      <c r="H64" s="62">
        <f>IF(D64="FBS",Модель!AL44,0)</f>
        <v>5</v>
      </c>
      <c r="I64" s="62">
        <f>Модель!L44</f>
        <v>97.917270442629103</v>
      </c>
      <c r="J64" s="64">
        <f t="shared" si="1"/>
        <v>225</v>
      </c>
      <c r="K64" s="64">
        <f>IF(D64="FBS",Модель!BP44*F64*Модель!$C$48*$G$10*$L$6,0)</f>
        <v>9363.6900000000023</v>
      </c>
      <c r="L64" s="64">
        <f t="shared" si="2"/>
        <v>405</v>
      </c>
      <c r="M64" s="64">
        <f t="shared" si="3"/>
        <v>900</v>
      </c>
      <c r="N64" s="64">
        <f t="shared" si="4"/>
        <v>180</v>
      </c>
      <c r="O64" s="64">
        <f t="shared" si="5"/>
        <v>1125</v>
      </c>
      <c r="P64" s="64">
        <f t="shared" si="6"/>
        <v>290</v>
      </c>
      <c r="Q64" s="64">
        <f t="shared" si="7"/>
        <v>12488.690000000002</v>
      </c>
      <c r="R64" s="59"/>
    </row>
    <row r="65" spans="1:18" ht="28" customHeight="1" x14ac:dyDescent="0.15">
      <c r="A65" s="59"/>
      <c r="R65" s="59"/>
    </row>
    <row r="66" spans="1:18" ht="28" customHeight="1" x14ac:dyDescent="0.15">
      <c r="A66" s="59"/>
      <c r="R66" s="59"/>
    </row>
    <row r="67" spans="1:18" ht="28" customHeight="1" x14ac:dyDescent="0.15">
      <c r="A67" s="59"/>
      <c r="R67" s="59"/>
    </row>
    <row r="68" spans="1:18" ht="28" customHeight="1" x14ac:dyDescent="0.15">
      <c r="A68" s="59"/>
      <c r="R68" s="59"/>
    </row>
    <row r="69" spans="1:18" ht="28" customHeight="1" x14ac:dyDescent="0.15">
      <c r="A69" s="59"/>
      <c r="R69" s="59"/>
    </row>
    <row r="70" spans="1:18" ht="28" customHeight="1" x14ac:dyDescent="0.15">
      <c r="A70" s="59"/>
      <c r="R70" s="59"/>
    </row>
    <row r="71" spans="1:18" ht="28" customHeight="1" x14ac:dyDescent="0.15">
      <c r="A71" s="59"/>
      <c r="R71" s="59"/>
    </row>
    <row r="72" spans="1:18" ht="24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</row>
    <row r="73" spans="1:18" ht="24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</row>
    <row r="74" spans="1:18" ht="24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</row>
    <row r="75" spans="1:18" ht="24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</row>
    <row r="76" spans="1:18" ht="24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</row>
    <row r="77" spans="1:18" ht="24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</row>
    <row r="78" spans="1:18" ht="24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</row>
    <row r="79" spans="1:18" ht="24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</row>
    <row r="80" spans="1:18" ht="24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</row>
    <row r="81" spans="1:18" ht="24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 ht="24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ht="24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</row>
    <row r="84" spans="1:18" ht="24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</row>
    <row r="85" spans="1:18" ht="24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</row>
    <row r="86" spans="1:18" ht="24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</row>
    <row r="87" spans="1:18" ht="24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</row>
    <row r="90" spans="1:18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</row>
    <row r="93" spans="1:18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</row>
    <row r="94" spans="1:18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</row>
    <row r="95" spans="1:18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</row>
    <row r="96" spans="1:18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spans="1:18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</row>
    <row r="98" spans="1:18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</row>
    <row r="99" spans="1:18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</row>
    <row r="100" spans="1:18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</row>
  </sheetData>
  <mergeCells count="22">
    <mergeCell ref="B18:C18"/>
    <mergeCell ref="B7:C7"/>
    <mergeCell ref="B8:C8"/>
    <mergeCell ref="B10:D10"/>
    <mergeCell ref="B11:C11"/>
    <mergeCell ref="B12:C12"/>
    <mergeCell ref="B2:K2"/>
    <mergeCell ref="B4:D4"/>
    <mergeCell ref="B5:C5"/>
    <mergeCell ref="B6:C6"/>
    <mergeCell ref="B23:Q23"/>
    <mergeCell ref="B19:C19"/>
    <mergeCell ref="B20:C20"/>
    <mergeCell ref="B21:C21"/>
    <mergeCell ref="B13:C13"/>
    <mergeCell ref="B14:C14"/>
    <mergeCell ref="B15:C15"/>
    <mergeCell ref="B16:C16"/>
    <mergeCell ref="K4:N4"/>
    <mergeCell ref="F4:I4"/>
    <mergeCell ref="F14:I14"/>
    <mergeCell ref="B17:C17"/>
  </mergeCells>
  <dataValidations count="1">
    <dataValidation type="decimal" showErrorMessage="1" error="Введите скидку от 0% до 100%." sqref="D5" xr:uid="{00000000-0002-0000-0200-000000000000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showGridLines="0" workbookViewId="0"/>
  </sheetViews>
  <sheetFormatPr baseColWidth="10" defaultColWidth="8.6640625" defaultRowHeight="15" x14ac:dyDescent="0.2"/>
  <cols>
    <col min="1" max="2" width="2.6640625" style="67" customWidth="1"/>
    <col min="3" max="3" width="110" style="67" customWidth="1"/>
    <col min="4" max="16384" width="8.6640625" style="67"/>
  </cols>
  <sheetData>
    <row r="1" spans="1:3" ht="19.5" customHeight="1" x14ac:dyDescent="0.2">
      <c r="A1" s="68" t="s">
        <v>201</v>
      </c>
    </row>
    <row r="2" spans="1:3" ht="19.5" customHeight="1" x14ac:dyDescent="0.2">
      <c r="C2" s="69"/>
    </row>
    <row r="3" spans="1:3" ht="19.5" customHeight="1" x14ac:dyDescent="0.2">
      <c r="B3" s="70" t="s">
        <v>202</v>
      </c>
    </row>
    <row r="4" spans="1:3" ht="30" customHeight="1" x14ac:dyDescent="0.2">
      <c r="C4" s="69" t="s">
        <v>203</v>
      </c>
    </row>
    <row r="5" spans="1:3" ht="19.5" customHeight="1" x14ac:dyDescent="0.2">
      <c r="C5" s="69"/>
    </row>
    <row r="6" spans="1:3" ht="19.5" customHeight="1" x14ac:dyDescent="0.2">
      <c r="B6" s="70" t="s">
        <v>204</v>
      </c>
    </row>
    <row r="7" spans="1:3" ht="30" customHeight="1" x14ac:dyDescent="0.2">
      <c r="B7" s="71" t="s">
        <v>205</v>
      </c>
      <c r="C7" s="69" t="s">
        <v>206</v>
      </c>
    </row>
    <row r="8" spans="1:3" ht="30" customHeight="1" x14ac:dyDescent="0.2">
      <c r="B8" s="71" t="s">
        <v>207</v>
      </c>
      <c r="C8" s="69" t="s">
        <v>208</v>
      </c>
    </row>
    <row r="9" spans="1:3" ht="30" customHeight="1" x14ac:dyDescent="0.2">
      <c r="B9" s="71" t="s">
        <v>209</v>
      </c>
      <c r="C9" s="69" t="s">
        <v>210</v>
      </c>
    </row>
    <row r="10" spans="1:3" ht="30" customHeight="1" x14ac:dyDescent="0.2">
      <c r="B10" s="71" t="s">
        <v>211</v>
      </c>
      <c r="C10" s="69" t="s">
        <v>212</v>
      </c>
    </row>
    <row r="11" spans="1:3" ht="30" customHeight="1" x14ac:dyDescent="0.2">
      <c r="B11" s="71" t="s">
        <v>213</v>
      </c>
      <c r="C11" s="69" t="s">
        <v>214</v>
      </c>
    </row>
    <row r="12" spans="1:3" ht="19.5" customHeight="1" x14ac:dyDescent="0.2">
      <c r="C12" s="69"/>
    </row>
    <row r="13" spans="1:3" ht="19.5" customHeight="1" x14ac:dyDescent="0.2">
      <c r="B13" s="70" t="s">
        <v>215</v>
      </c>
    </row>
    <row r="14" spans="1:3" ht="30" customHeight="1" x14ac:dyDescent="0.2">
      <c r="C14" s="69" t="s">
        <v>216</v>
      </c>
    </row>
    <row r="16" spans="1:3" x14ac:dyDescent="0.2">
      <c r="B16" s="72" t="str">
        <f>HYPERLINK("#'Итоги'!B2","Перейти к итогам модели")</f>
        <v>Перейти к итогам модели</v>
      </c>
    </row>
    <row r="17" spans="2:3" ht="307" x14ac:dyDescent="0.2">
      <c r="B17" s="155" t="s">
        <v>217</v>
      </c>
      <c r="C17" s="155"/>
    </row>
    <row r="18" spans="2:3" ht="211" x14ac:dyDescent="0.2">
      <c r="B18" s="131" t="s">
        <v>218</v>
      </c>
      <c r="C18" s="131" t="s">
        <v>219</v>
      </c>
    </row>
    <row r="19" spans="2:3" ht="141" x14ac:dyDescent="0.2">
      <c r="B19" s="131" t="s">
        <v>220</v>
      </c>
      <c r="C19" s="131" t="s">
        <v>221</v>
      </c>
    </row>
    <row r="20" spans="2:3" ht="71" x14ac:dyDescent="0.2">
      <c r="B20" s="131" t="s">
        <v>222</v>
      </c>
      <c r="C20" s="131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workbookViewId="0"/>
  </sheetViews>
  <sheetFormatPr baseColWidth="10" defaultColWidth="8.6640625" defaultRowHeight="15" x14ac:dyDescent="0.2"/>
  <cols>
    <col min="1" max="1" width="10" style="67" customWidth="1"/>
    <col min="2" max="2" width="34" style="67" customWidth="1"/>
    <col min="3" max="3" width="15" style="67" customWidth="1"/>
    <col min="4" max="15" width="15.6640625" style="67" customWidth="1"/>
    <col min="16" max="16" width="44" style="67" customWidth="1"/>
    <col min="17" max="16384" width="8.6640625" style="67"/>
  </cols>
  <sheetData>
    <row r="1" spans="1:16" ht="80" customHeight="1" x14ac:dyDescent="0.2">
      <c r="A1" s="73" t="s">
        <v>47</v>
      </c>
      <c r="B1" s="73" t="s">
        <v>224</v>
      </c>
      <c r="C1" s="73" t="s">
        <v>49</v>
      </c>
      <c r="D1" s="73" t="s">
        <v>225</v>
      </c>
      <c r="E1" s="73" t="s">
        <v>226</v>
      </c>
      <c r="F1" s="73" t="s">
        <v>227</v>
      </c>
      <c r="G1" s="73" t="s">
        <v>228</v>
      </c>
      <c r="H1" s="73" t="s">
        <v>229</v>
      </c>
      <c r="I1" s="73" t="s">
        <v>54</v>
      </c>
      <c r="J1" s="73" t="s">
        <v>230</v>
      </c>
      <c r="K1" s="73" t="s">
        <v>231</v>
      </c>
      <c r="L1" s="73" t="s">
        <v>50</v>
      </c>
      <c r="M1" s="73" t="s">
        <v>232</v>
      </c>
      <c r="N1" s="73" t="s">
        <v>233</v>
      </c>
      <c r="O1" s="73" t="s">
        <v>234</v>
      </c>
      <c r="P1" s="74" t="s">
        <v>235</v>
      </c>
    </row>
    <row r="2" spans="1:16" ht="28.25" customHeight="1" x14ac:dyDescent="0.2">
      <c r="A2" s="75" t="s">
        <v>236</v>
      </c>
      <c r="B2" s="76" t="s">
        <v>237</v>
      </c>
      <c r="C2" s="75" t="s">
        <v>136</v>
      </c>
      <c r="D2" s="77">
        <v>3990</v>
      </c>
      <c r="E2" s="77">
        <v>1900</v>
      </c>
      <c r="F2" s="75">
        <v>33</v>
      </c>
      <c r="G2" s="75">
        <v>21</v>
      </c>
      <c r="H2" s="75">
        <v>12</v>
      </c>
      <c r="I2" s="78">
        <f t="shared" ref="I2:I41" si="0">F2*G2*H2/1000</f>
        <v>8.3160000000000007</v>
      </c>
      <c r="J2" s="78">
        <v>0.9</v>
      </c>
      <c r="K2" s="77">
        <v>260</v>
      </c>
      <c r="L2" s="75" t="s">
        <v>8</v>
      </c>
      <c r="M2" s="79">
        <v>66.679446017105903</v>
      </c>
      <c r="N2" s="80">
        <v>0.14000000000000001</v>
      </c>
      <c r="O2" s="77">
        <v>780</v>
      </c>
      <c r="P2" s="75"/>
    </row>
    <row r="3" spans="1:16" ht="28.25" customHeight="1" x14ac:dyDescent="0.2">
      <c r="A3" s="75" t="s">
        <v>238</v>
      </c>
      <c r="B3" s="76" t="s">
        <v>239</v>
      </c>
      <c r="C3" s="75" t="s">
        <v>136</v>
      </c>
      <c r="D3" s="77">
        <v>5490</v>
      </c>
      <c r="E3" s="77">
        <v>2600</v>
      </c>
      <c r="F3" s="75">
        <v>34</v>
      </c>
      <c r="G3" s="75">
        <v>22</v>
      </c>
      <c r="H3" s="75">
        <v>13</v>
      </c>
      <c r="I3" s="78">
        <f t="shared" si="0"/>
        <v>9.7240000000000002</v>
      </c>
      <c r="J3" s="78">
        <v>1</v>
      </c>
      <c r="K3" s="77">
        <v>180</v>
      </c>
      <c r="L3" s="75" t="s">
        <v>8</v>
      </c>
      <c r="M3" s="79">
        <v>67.064722642245698</v>
      </c>
      <c r="N3" s="80">
        <v>0.15</v>
      </c>
      <c r="O3" s="77">
        <v>540</v>
      </c>
      <c r="P3" s="75"/>
    </row>
    <row r="4" spans="1:16" ht="28.25" customHeight="1" x14ac:dyDescent="0.2">
      <c r="A4" s="75" t="s">
        <v>240</v>
      </c>
      <c r="B4" s="76" t="s">
        <v>241</v>
      </c>
      <c r="C4" s="75" t="s">
        <v>136</v>
      </c>
      <c r="D4" s="77">
        <v>2490</v>
      </c>
      <c r="E4" s="77">
        <v>1050</v>
      </c>
      <c r="F4" s="75">
        <v>32</v>
      </c>
      <c r="G4" s="75">
        <v>20</v>
      </c>
      <c r="H4" s="75">
        <v>11</v>
      </c>
      <c r="I4" s="78">
        <f t="shared" si="0"/>
        <v>7.04</v>
      </c>
      <c r="J4" s="78">
        <v>0.8</v>
      </c>
      <c r="K4" s="77">
        <v>340</v>
      </c>
      <c r="L4" s="75" t="s">
        <v>8</v>
      </c>
      <c r="M4" s="79">
        <v>48.0312211717468</v>
      </c>
      <c r="N4" s="80">
        <v>0.12</v>
      </c>
      <c r="O4" s="77">
        <v>900</v>
      </c>
      <c r="P4" s="75"/>
    </row>
    <row r="5" spans="1:16" ht="28.25" customHeight="1" x14ac:dyDescent="0.2">
      <c r="A5" s="75" t="s">
        <v>242</v>
      </c>
      <c r="B5" s="76" t="s">
        <v>243</v>
      </c>
      <c r="C5" s="75" t="s">
        <v>136</v>
      </c>
      <c r="D5" s="77">
        <v>7990</v>
      </c>
      <c r="E5" s="77">
        <v>3800</v>
      </c>
      <c r="F5" s="75">
        <v>35</v>
      </c>
      <c r="G5" s="75">
        <v>24</v>
      </c>
      <c r="H5" s="75">
        <v>14</v>
      </c>
      <c r="I5" s="78">
        <f t="shared" si="0"/>
        <v>11.76</v>
      </c>
      <c r="J5" s="78">
        <v>1.4</v>
      </c>
      <c r="K5" s="77">
        <v>85</v>
      </c>
      <c r="L5" s="75" t="s">
        <v>8</v>
      </c>
      <c r="M5" s="79">
        <v>73.154068075705894</v>
      </c>
      <c r="N5" s="80">
        <v>0.16</v>
      </c>
      <c r="O5" s="77">
        <v>260</v>
      </c>
      <c r="P5" s="75"/>
    </row>
    <row r="6" spans="1:16" ht="28.25" customHeight="1" x14ac:dyDescent="0.2">
      <c r="A6" s="75" t="s">
        <v>244</v>
      </c>
      <c r="B6" s="76" t="s">
        <v>245</v>
      </c>
      <c r="C6" s="75" t="s">
        <v>136</v>
      </c>
      <c r="D6" s="77">
        <v>890</v>
      </c>
      <c r="E6" s="77">
        <v>290</v>
      </c>
      <c r="F6" s="75">
        <v>28</v>
      </c>
      <c r="G6" s="75">
        <v>12</v>
      </c>
      <c r="H6" s="75">
        <v>10</v>
      </c>
      <c r="I6" s="78">
        <f t="shared" si="0"/>
        <v>3.36</v>
      </c>
      <c r="J6" s="78">
        <v>0.4</v>
      </c>
      <c r="K6" s="77">
        <v>480</v>
      </c>
      <c r="L6" s="75" t="s">
        <v>8</v>
      </c>
      <c r="M6" s="79">
        <v>79.611473240346001</v>
      </c>
      <c r="N6" s="80">
        <v>0.06</v>
      </c>
      <c r="O6" s="77">
        <v>1200</v>
      </c>
      <c r="P6" s="75" t="s">
        <v>246</v>
      </c>
    </row>
    <row r="7" spans="1:16" ht="28.25" customHeight="1" x14ac:dyDescent="0.2">
      <c r="A7" s="75" t="s">
        <v>247</v>
      </c>
      <c r="B7" s="76" t="s">
        <v>248</v>
      </c>
      <c r="C7" s="75" t="s">
        <v>137</v>
      </c>
      <c r="D7" s="77">
        <v>990</v>
      </c>
      <c r="E7" s="77">
        <v>340</v>
      </c>
      <c r="F7" s="75">
        <v>30</v>
      </c>
      <c r="G7" s="75">
        <v>22</v>
      </c>
      <c r="H7" s="75">
        <v>3</v>
      </c>
      <c r="I7" s="78">
        <f t="shared" si="0"/>
        <v>1.98</v>
      </c>
      <c r="J7" s="78">
        <v>0.25</v>
      </c>
      <c r="K7" s="77">
        <v>620</v>
      </c>
      <c r="L7" s="75" t="s">
        <v>8</v>
      </c>
      <c r="M7" s="79">
        <v>77.881051277751695</v>
      </c>
      <c r="N7" s="80">
        <v>0.15</v>
      </c>
      <c r="O7" s="77">
        <v>1800</v>
      </c>
      <c r="P7" s="75"/>
    </row>
    <row r="8" spans="1:16" ht="28.25" customHeight="1" x14ac:dyDescent="0.2">
      <c r="A8" s="75" t="s">
        <v>249</v>
      </c>
      <c r="B8" s="76" t="s">
        <v>250</v>
      </c>
      <c r="C8" s="75" t="s">
        <v>137</v>
      </c>
      <c r="D8" s="77">
        <v>1290</v>
      </c>
      <c r="E8" s="77">
        <v>430</v>
      </c>
      <c r="F8" s="75">
        <v>28</v>
      </c>
      <c r="G8" s="75">
        <v>20</v>
      </c>
      <c r="H8" s="75">
        <v>4</v>
      </c>
      <c r="I8" s="78">
        <f t="shared" si="0"/>
        <v>2.2400000000000002</v>
      </c>
      <c r="J8" s="78">
        <v>0.25</v>
      </c>
      <c r="K8" s="77">
        <v>380</v>
      </c>
      <c r="L8" s="75" t="s">
        <v>8</v>
      </c>
      <c r="M8" s="79">
        <v>82.191663471933097</v>
      </c>
      <c r="N8" s="80">
        <v>0.14000000000000001</v>
      </c>
      <c r="O8" s="77">
        <v>950</v>
      </c>
      <c r="P8" s="75" t="s">
        <v>246</v>
      </c>
    </row>
    <row r="9" spans="1:16" ht="28.25" customHeight="1" x14ac:dyDescent="0.2">
      <c r="A9" s="75" t="s">
        <v>251</v>
      </c>
      <c r="B9" s="76" t="s">
        <v>252</v>
      </c>
      <c r="C9" s="75" t="s">
        <v>137</v>
      </c>
      <c r="D9" s="77">
        <v>3490</v>
      </c>
      <c r="E9" s="77">
        <v>1400</v>
      </c>
      <c r="F9" s="75">
        <v>35</v>
      </c>
      <c r="G9" s="75">
        <v>25</v>
      </c>
      <c r="H9" s="75">
        <v>6</v>
      </c>
      <c r="I9" s="78">
        <f t="shared" si="0"/>
        <v>5.25</v>
      </c>
      <c r="J9" s="78">
        <v>0.5</v>
      </c>
      <c r="K9" s="77">
        <v>150</v>
      </c>
      <c r="L9" s="75" t="s">
        <v>8</v>
      </c>
      <c r="M9" s="79">
        <v>79.712035411535496</v>
      </c>
      <c r="N9" s="80">
        <v>0.17</v>
      </c>
      <c r="O9" s="77">
        <v>420</v>
      </c>
      <c r="P9" s="75"/>
    </row>
    <row r="10" spans="1:16" ht="28.25" customHeight="1" x14ac:dyDescent="0.2">
      <c r="A10" s="75" t="s">
        <v>253</v>
      </c>
      <c r="B10" s="76" t="s">
        <v>254</v>
      </c>
      <c r="C10" s="75" t="s">
        <v>137</v>
      </c>
      <c r="D10" s="77">
        <v>8990</v>
      </c>
      <c r="E10" s="77">
        <v>4100</v>
      </c>
      <c r="F10" s="75">
        <v>45</v>
      </c>
      <c r="G10" s="75">
        <v>35</v>
      </c>
      <c r="H10" s="75">
        <v>15</v>
      </c>
      <c r="I10" s="78">
        <f t="shared" si="0"/>
        <v>23.625</v>
      </c>
      <c r="J10" s="78">
        <v>1.6</v>
      </c>
      <c r="K10" s="77">
        <v>18</v>
      </c>
      <c r="L10" s="75" t="s">
        <v>8</v>
      </c>
      <c r="M10" s="79">
        <v>140</v>
      </c>
      <c r="N10" s="80">
        <v>0.2</v>
      </c>
      <c r="O10" s="77">
        <v>620</v>
      </c>
      <c r="P10" s="75" t="s">
        <v>255</v>
      </c>
    </row>
    <row r="11" spans="1:16" ht="28.25" customHeight="1" x14ac:dyDescent="0.2">
      <c r="A11" s="75" t="s">
        <v>256</v>
      </c>
      <c r="B11" s="76" t="s">
        <v>257</v>
      </c>
      <c r="C11" s="75" t="s">
        <v>137</v>
      </c>
      <c r="D11" s="77">
        <v>1790</v>
      </c>
      <c r="E11" s="77">
        <v>620</v>
      </c>
      <c r="F11" s="75">
        <v>28</v>
      </c>
      <c r="G11" s="75">
        <v>20</v>
      </c>
      <c r="H11" s="75">
        <v>4</v>
      </c>
      <c r="I11" s="78">
        <f t="shared" si="0"/>
        <v>2.2400000000000002</v>
      </c>
      <c r="J11" s="78">
        <v>0.3</v>
      </c>
      <c r="K11" s="77">
        <v>290</v>
      </c>
      <c r="L11" s="75" t="s">
        <v>8</v>
      </c>
      <c r="M11" s="79">
        <v>77.397200848446502</v>
      </c>
      <c r="N11" s="80">
        <v>0.18</v>
      </c>
      <c r="O11" s="77">
        <v>700</v>
      </c>
      <c r="P11" s="75"/>
    </row>
    <row r="12" spans="1:16" ht="28.25" customHeight="1" x14ac:dyDescent="0.2">
      <c r="A12" s="75" t="s">
        <v>258</v>
      </c>
      <c r="B12" s="76" t="s">
        <v>259</v>
      </c>
      <c r="C12" s="75" t="s">
        <v>138</v>
      </c>
      <c r="D12" s="77">
        <v>4990</v>
      </c>
      <c r="E12" s="77">
        <v>2750</v>
      </c>
      <c r="F12" s="75">
        <v>45</v>
      </c>
      <c r="G12" s="75">
        <v>25</v>
      </c>
      <c r="H12" s="75">
        <v>15</v>
      </c>
      <c r="I12" s="78">
        <f t="shared" si="0"/>
        <v>16.875</v>
      </c>
      <c r="J12" s="78">
        <v>20.5</v>
      </c>
      <c r="K12" s="77">
        <v>60</v>
      </c>
      <c r="L12" s="75" t="s">
        <v>8</v>
      </c>
      <c r="M12" s="79">
        <v>81.658981929829693</v>
      </c>
      <c r="N12" s="80">
        <v>0.03</v>
      </c>
      <c r="O12" s="77">
        <v>150</v>
      </c>
      <c r="P12" s="75"/>
    </row>
    <row r="13" spans="1:16" ht="28.25" customHeight="1" x14ac:dyDescent="0.2">
      <c r="A13" s="75" t="s">
        <v>260</v>
      </c>
      <c r="B13" s="76" t="s">
        <v>261</v>
      </c>
      <c r="C13" s="75" t="s">
        <v>138</v>
      </c>
      <c r="D13" s="77">
        <v>2990</v>
      </c>
      <c r="E13" s="77">
        <v>1750</v>
      </c>
      <c r="F13" s="75">
        <v>25</v>
      </c>
      <c r="G13" s="75">
        <v>20</v>
      </c>
      <c r="H13" s="75">
        <v>22</v>
      </c>
      <c r="I13" s="78">
        <f t="shared" si="0"/>
        <v>11</v>
      </c>
      <c r="J13" s="78">
        <v>16.2</v>
      </c>
      <c r="K13" s="77">
        <v>45</v>
      </c>
      <c r="L13" s="75" t="s">
        <v>8</v>
      </c>
      <c r="M13" s="79">
        <v>60.716212370823399</v>
      </c>
      <c r="N13" s="80">
        <v>0.02</v>
      </c>
      <c r="O13" s="77">
        <v>110</v>
      </c>
      <c r="P13" s="75"/>
    </row>
    <row r="14" spans="1:16" ht="28.25" customHeight="1" x14ac:dyDescent="0.2">
      <c r="A14" s="75" t="s">
        <v>262</v>
      </c>
      <c r="B14" s="76" t="s">
        <v>263</v>
      </c>
      <c r="C14" s="75" t="s">
        <v>138</v>
      </c>
      <c r="D14" s="77">
        <v>1490</v>
      </c>
      <c r="E14" s="77">
        <v>520</v>
      </c>
      <c r="F14" s="75">
        <v>66</v>
      </c>
      <c r="G14" s="75">
        <v>15</v>
      </c>
      <c r="H14" s="75">
        <v>15</v>
      </c>
      <c r="I14" s="78">
        <f t="shared" si="0"/>
        <v>14.85</v>
      </c>
      <c r="J14" s="78">
        <v>1.1000000000000001</v>
      </c>
      <c r="K14" s="77">
        <v>320</v>
      </c>
      <c r="L14" s="75" t="s">
        <v>8</v>
      </c>
      <c r="M14" s="79">
        <v>88.153618622041805</v>
      </c>
      <c r="N14" s="80">
        <v>0.04</v>
      </c>
      <c r="O14" s="77">
        <v>800</v>
      </c>
      <c r="P14" s="75"/>
    </row>
    <row r="15" spans="1:16" ht="28.25" customHeight="1" x14ac:dyDescent="0.2">
      <c r="A15" s="75" t="s">
        <v>264</v>
      </c>
      <c r="B15" s="76" t="s">
        <v>265</v>
      </c>
      <c r="C15" s="75" t="s">
        <v>138</v>
      </c>
      <c r="D15" s="77">
        <v>790</v>
      </c>
      <c r="E15" s="77">
        <v>260</v>
      </c>
      <c r="F15" s="75">
        <v>18</v>
      </c>
      <c r="G15" s="75">
        <v>12</v>
      </c>
      <c r="H15" s="75">
        <v>6</v>
      </c>
      <c r="I15" s="78">
        <f t="shared" si="0"/>
        <v>1.296</v>
      </c>
      <c r="J15" s="78">
        <v>0.4</v>
      </c>
      <c r="K15" s="77">
        <v>410</v>
      </c>
      <c r="L15" s="75" t="s">
        <v>8</v>
      </c>
      <c r="M15" s="79">
        <v>44.843154704588301</v>
      </c>
      <c r="N15" s="80">
        <v>0.04</v>
      </c>
      <c r="O15" s="77">
        <v>950</v>
      </c>
      <c r="P15" s="75"/>
    </row>
    <row r="16" spans="1:16" ht="28.25" customHeight="1" x14ac:dyDescent="0.2">
      <c r="A16" s="75" t="s">
        <v>266</v>
      </c>
      <c r="B16" s="76" t="s">
        <v>267</v>
      </c>
      <c r="C16" s="75" t="s">
        <v>141</v>
      </c>
      <c r="D16" s="77">
        <v>490</v>
      </c>
      <c r="E16" s="77">
        <v>150</v>
      </c>
      <c r="F16" s="75">
        <v>20</v>
      </c>
      <c r="G16" s="75">
        <v>12</v>
      </c>
      <c r="H16" s="75">
        <v>4</v>
      </c>
      <c r="I16" s="78">
        <f t="shared" si="0"/>
        <v>0.96</v>
      </c>
      <c r="J16" s="78">
        <v>0.2</v>
      </c>
      <c r="K16" s="77">
        <v>370</v>
      </c>
      <c r="L16" s="75" t="s">
        <v>8</v>
      </c>
      <c r="M16" s="79">
        <v>79.627189847283404</v>
      </c>
      <c r="N16" s="80">
        <v>0.03</v>
      </c>
      <c r="O16" s="77">
        <v>850</v>
      </c>
      <c r="P16" s="75"/>
    </row>
    <row r="17" spans="1:16" ht="28.25" customHeight="1" x14ac:dyDescent="0.2">
      <c r="A17" s="75" t="s">
        <v>268</v>
      </c>
      <c r="B17" s="76" t="s">
        <v>269</v>
      </c>
      <c r="C17" s="75" t="s">
        <v>139</v>
      </c>
      <c r="D17" s="77">
        <v>6990</v>
      </c>
      <c r="E17" s="77">
        <v>3200</v>
      </c>
      <c r="F17" s="75">
        <v>58</v>
      </c>
      <c r="G17" s="75">
        <v>20</v>
      </c>
      <c r="H17" s="75">
        <v>20</v>
      </c>
      <c r="I17" s="78">
        <f t="shared" si="0"/>
        <v>23.2</v>
      </c>
      <c r="J17" s="78">
        <v>3.8</v>
      </c>
      <c r="K17" s="77">
        <v>45</v>
      </c>
      <c r="L17" s="75" t="s">
        <v>8</v>
      </c>
      <c r="M17" s="79">
        <v>44.532530319726803</v>
      </c>
      <c r="N17" s="80">
        <v>0.06</v>
      </c>
      <c r="O17" s="77">
        <v>340</v>
      </c>
      <c r="P17" s="75" t="s">
        <v>246</v>
      </c>
    </row>
    <row r="18" spans="1:16" ht="28.25" customHeight="1" x14ac:dyDescent="0.2">
      <c r="A18" s="75" t="s">
        <v>270</v>
      </c>
      <c r="B18" s="76" t="s">
        <v>271</v>
      </c>
      <c r="C18" s="75" t="s">
        <v>139</v>
      </c>
      <c r="D18" s="77">
        <v>12990</v>
      </c>
      <c r="E18" s="77">
        <v>6100</v>
      </c>
      <c r="F18" s="75">
        <v>68</v>
      </c>
      <c r="G18" s="75">
        <v>26</v>
      </c>
      <c r="H18" s="75">
        <v>26</v>
      </c>
      <c r="I18" s="78">
        <f t="shared" si="0"/>
        <v>45.968000000000004</v>
      </c>
      <c r="J18" s="78">
        <v>7.5</v>
      </c>
      <c r="K18" s="77">
        <v>22</v>
      </c>
      <c r="L18" s="75" t="s">
        <v>8</v>
      </c>
      <c r="M18" s="79">
        <v>47.409610835220001</v>
      </c>
      <c r="N18" s="80">
        <v>7.0000000000000007E-2</v>
      </c>
      <c r="O18" s="77">
        <v>180</v>
      </c>
      <c r="P18" s="75" t="s">
        <v>246</v>
      </c>
    </row>
    <row r="19" spans="1:16" ht="28.25" customHeight="1" x14ac:dyDescent="0.2">
      <c r="A19" s="75" t="s">
        <v>272</v>
      </c>
      <c r="B19" s="76" t="s">
        <v>273</v>
      </c>
      <c r="C19" s="75" t="s">
        <v>139</v>
      </c>
      <c r="D19" s="77">
        <v>3490</v>
      </c>
      <c r="E19" s="77">
        <v>1480</v>
      </c>
      <c r="F19" s="75">
        <v>40</v>
      </c>
      <c r="G19" s="75">
        <v>28</v>
      </c>
      <c r="H19" s="75">
        <v>28</v>
      </c>
      <c r="I19" s="78">
        <f t="shared" si="0"/>
        <v>31.36</v>
      </c>
      <c r="J19" s="78">
        <v>1.9</v>
      </c>
      <c r="K19" s="77">
        <v>70</v>
      </c>
      <c r="L19" s="75" t="s">
        <v>8</v>
      </c>
      <c r="M19" s="79">
        <v>68.899771618358997</v>
      </c>
      <c r="N19" s="80">
        <v>0.06</v>
      </c>
      <c r="O19" s="77">
        <v>260</v>
      </c>
      <c r="P19" s="75"/>
    </row>
    <row r="20" spans="1:16" ht="28.25" customHeight="1" x14ac:dyDescent="0.2">
      <c r="A20" s="75" t="s">
        <v>274</v>
      </c>
      <c r="B20" s="76" t="s">
        <v>275</v>
      </c>
      <c r="C20" s="75" t="s">
        <v>139</v>
      </c>
      <c r="D20" s="77">
        <v>5990</v>
      </c>
      <c r="E20" s="77">
        <v>2550</v>
      </c>
      <c r="F20" s="75">
        <v>65</v>
      </c>
      <c r="G20" s="75">
        <v>35</v>
      </c>
      <c r="H20" s="75">
        <v>25</v>
      </c>
      <c r="I20" s="78">
        <f t="shared" si="0"/>
        <v>56.875</v>
      </c>
      <c r="J20" s="78">
        <v>2.1</v>
      </c>
      <c r="K20" s="77">
        <v>55</v>
      </c>
      <c r="L20" s="75" t="s">
        <v>8</v>
      </c>
      <c r="M20" s="79">
        <v>78.989017878729797</v>
      </c>
      <c r="N20" s="80">
        <v>0.08</v>
      </c>
      <c r="O20" s="77">
        <v>210</v>
      </c>
      <c r="P20" s="75"/>
    </row>
    <row r="21" spans="1:16" ht="28.25" customHeight="1" x14ac:dyDescent="0.2">
      <c r="A21" s="75" t="s">
        <v>276</v>
      </c>
      <c r="B21" s="76" t="s">
        <v>277</v>
      </c>
      <c r="C21" s="75" t="s">
        <v>139</v>
      </c>
      <c r="D21" s="77">
        <v>990</v>
      </c>
      <c r="E21" s="77">
        <v>370</v>
      </c>
      <c r="F21" s="75">
        <v>60</v>
      </c>
      <c r="G21" s="75">
        <v>16</v>
      </c>
      <c r="H21" s="75">
        <v>16</v>
      </c>
      <c r="I21" s="78">
        <f t="shared" si="0"/>
        <v>15.36</v>
      </c>
      <c r="J21" s="78">
        <v>0.6</v>
      </c>
      <c r="K21" s="77">
        <v>90</v>
      </c>
      <c r="L21" s="75" t="s">
        <v>8</v>
      </c>
      <c r="M21" s="79">
        <v>88.712522680790997</v>
      </c>
      <c r="N21" s="80">
        <v>0.03</v>
      </c>
      <c r="O21" s="77">
        <v>320</v>
      </c>
      <c r="P21" s="75"/>
    </row>
    <row r="22" spans="1:16" ht="28.25" customHeight="1" x14ac:dyDescent="0.2">
      <c r="A22" s="75" t="s">
        <v>278</v>
      </c>
      <c r="B22" s="76" t="s">
        <v>279</v>
      </c>
      <c r="C22" s="75" t="s">
        <v>140</v>
      </c>
      <c r="D22" s="77">
        <v>24990</v>
      </c>
      <c r="E22" s="77">
        <v>14200</v>
      </c>
      <c r="F22" s="75">
        <v>92</v>
      </c>
      <c r="G22" s="75">
        <v>50</v>
      </c>
      <c r="H22" s="75">
        <v>30</v>
      </c>
      <c r="I22" s="78">
        <f t="shared" si="0"/>
        <v>138</v>
      </c>
      <c r="J22" s="78">
        <v>31</v>
      </c>
      <c r="K22" s="77">
        <v>25</v>
      </c>
      <c r="L22" s="75" t="s">
        <v>280</v>
      </c>
      <c r="M22" s="79" t="s">
        <v>281</v>
      </c>
      <c r="N22" s="80">
        <v>0.05</v>
      </c>
      <c r="O22" s="77">
        <v>60</v>
      </c>
      <c r="P22" s="75" t="s">
        <v>282</v>
      </c>
    </row>
    <row r="23" spans="1:16" ht="28.25" customHeight="1" x14ac:dyDescent="0.2">
      <c r="A23" s="75" t="s">
        <v>283</v>
      </c>
      <c r="B23" s="76" t="s">
        <v>284</v>
      </c>
      <c r="C23" s="75" t="s">
        <v>140</v>
      </c>
      <c r="D23" s="77">
        <v>49990</v>
      </c>
      <c r="E23" s="77">
        <v>28900</v>
      </c>
      <c r="F23" s="75">
        <v>160</v>
      </c>
      <c r="G23" s="75">
        <v>72</v>
      </c>
      <c r="H23" s="75">
        <v>30</v>
      </c>
      <c r="I23" s="78">
        <f t="shared" si="0"/>
        <v>345.6</v>
      </c>
      <c r="J23" s="78">
        <v>58</v>
      </c>
      <c r="K23" s="77">
        <v>12</v>
      </c>
      <c r="L23" s="75" t="s">
        <v>280</v>
      </c>
      <c r="M23" s="79" t="s">
        <v>281</v>
      </c>
      <c r="N23" s="80">
        <v>0.05</v>
      </c>
      <c r="O23" s="77">
        <v>30</v>
      </c>
      <c r="P23" s="75" t="s">
        <v>282</v>
      </c>
    </row>
    <row r="24" spans="1:16" ht="28.25" customHeight="1" x14ac:dyDescent="0.2">
      <c r="A24" s="75" t="s">
        <v>285</v>
      </c>
      <c r="B24" s="76" t="s">
        <v>286</v>
      </c>
      <c r="C24" s="75" t="s">
        <v>140</v>
      </c>
      <c r="D24" s="77">
        <v>18990</v>
      </c>
      <c r="E24" s="77">
        <v>10400</v>
      </c>
      <c r="F24" s="75">
        <v>150</v>
      </c>
      <c r="G24" s="75">
        <v>40</v>
      </c>
      <c r="H24" s="75">
        <v>38</v>
      </c>
      <c r="I24" s="78">
        <f t="shared" si="0"/>
        <v>228</v>
      </c>
      <c r="J24" s="78">
        <v>46</v>
      </c>
      <c r="K24" s="77">
        <v>15</v>
      </c>
      <c r="L24" s="75" t="s">
        <v>280</v>
      </c>
      <c r="M24" s="79" t="s">
        <v>281</v>
      </c>
      <c r="N24" s="80">
        <v>0.04</v>
      </c>
      <c r="O24" s="77">
        <v>45</v>
      </c>
      <c r="P24" s="75" t="s">
        <v>287</v>
      </c>
    </row>
    <row r="25" spans="1:16" ht="28.25" customHeight="1" x14ac:dyDescent="0.2">
      <c r="A25" s="75" t="s">
        <v>288</v>
      </c>
      <c r="B25" s="76" t="s">
        <v>289</v>
      </c>
      <c r="C25" s="75" t="s">
        <v>140</v>
      </c>
      <c r="D25" s="77">
        <v>21990</v>
      </c>
      <c r="E25" s="77">
        <v>11900</v>
      </c>
      <c r="F25" s="75">
        <v>95</v>
      </c>
      <c r="G25" s="75">
        <v>45</v>
      </c>
      <c r="H25" s="75">
        <v>30</v>
      </c>
      <c r="I25" s="78">
        <f t="shared" si="0"/>
        <v>128.25</v>
      </c>
      <c r="J25" s="78">
        <v>12.5</v>
      </c>
      <c r="K25" s="77">
        <v>20</v>
      </c>
      <c r="L25" s="75" t="s">
        <v>280</v>
      </c>
      <c r="M25" s="79" t="s">
        <v>281</v>
      </c>
      <c r="N25" s="80">
        <v>0.06</v>
      </c>
      <c r="O25" s="77">
        <v>55</v>
      </c>
      <c r="P25" s="75" t="s">
        <v>287</v>
      </c>
    </row>
    <row r="26" spans="1:16" ht="28.25" customHeight="1" x14ac:dyDescent="0.2">
      <c r="A26" s="75" t="s">
        <v>290</v>
      </c>
      <c r="B26" s="76" t="s">
        <v>291</v>
      </c>
      <c r="C26" s="75" t="s">
        <v>140</v>
      </c>
      <c r="D26" s="77">
        <v>34990</v>
      </c>
      <c r="E26" s="77">
        <v>19400</v>
      </c>
      <c r="F26" s="75">
        <v>100</v>
      </c>
      <c r="G26" s="75">
        <v>52</v>
      </c>
      <c r="H26" s="75">
        <v>35</v>
      </c>
      <c r="I26" s="78">
        <f t="shared" si="0"/>
        <v>182</v>
      </c>
      <c r="J26" s="78">
        <v>24</v>
      </c>
      <c r="K26" s="77">
        <v>8</v>
      </c>
      <c r="L26" s="75" t="s">
        <v>280</v>
      </c>
      <c r="M26" s="79" t="s">
        <v>281</v>
      </c>
      <c r="N26" s="80">
        <v>0.06</v>
      </c>
      <c r="O26" s="77">
        <v>25</v>
      </c>
      <c r="P26" s="75" t="s">
        <v>287</v>
      </c>
    </row>
    <row r="27" spans="1:16" ht="28.25" customHeight="1" x14ac:dyDescent="0.2">
      <c r="A27" s="75" t="s">
        <v>292</v>
      </c>
      <c r="B27" s="76" t="s">
        <v>293</v>
      </c>
      <c r="C27" s="75" t="s">
        <v>140</v>
      </c>
      <c r="D27" s="77">
        <v>54990</v>
      </c>
      <c r="E27" s="77">
        <v>31800</v>
      </c>
      <c r="F27" s="75">
        <v>160</v>
      </c>
      <c r="G27" s="75">
        <v>142</v>
      </c>
      <c r="H27" s="75">
        <v>12</v>
      </c>
      <c r="I27" s="78">
        <f t="shared" si="0"/>
        <v>272.64</v>
      </c>
      <c r="J27" s="78">
        <v>68</v>
      </c>
      <c r="K27" s="77">
        <v>6</v>
      </c>
      <c r="L27" s="75" t="s">
        <v>280</v>
      </c>
      <c r="M27" s="79" t="s">
        <v>281</v>
      </c>
      <c r="N27" s="80">
        <v>0.04</v>
      </c>
      <c r="O27" s="77">
        <v>15</v>
      </c>
      <c r="P27" s="75" t="s">
        <v>294</v>
      </c>
    </row>
    <row r="28" spans="1:16" ht="28.25" customHeight="1" x14ac:dyDescent="0.2">
      <c r="A28" s="75" t="s">
        <v>295</v>
      </c>
      <c r="B28" s="76" t="s">
        <v>296</v>
      </c>
      <c r="C28" s="75" t="s">
        <v>140</v>
      </c>
      <c r="D28" s="77">
        <v>15990</v>
      </c>
      <c r="E28" s="77">
        <v>8700</v>
      </c>
      <c r="F28" s="75">
        <v>242</v>
      </c>
      <c r="G28" s="75">
        <v>32</v>
      </c>
      <c r="H28" s="75">
        <v>16</v>
      </c>
      <c r="I28" s="78">
        <f t="shared" si="0"/>
        <v>123.904</v>
      </c>
      <c r="J28" s="78">
        <v>27</v>
      </c>
      <c r="K28" s="77">
        <v>10</v>
      </c>
      <c r="L28" s="75" t="s">
        <v>280</v>
      </c>
      <c r="M28" s="79" t="s">
        <v>281</v>
      </c>
      <c r="N28" s="80">
        <v>0.05</v>
      </c>
      <c r="O28" s="77">
        <v>35</v>
      </c>
      <c r="P28" s="75" t="s">
        <v>294</v>
      </c>
    </row>
    <row r="29" spans="1:16" ht="28.25" customHeight="1" x14ac:dyDescent="0.2">
      <c r="A29" s="75" t="s">
        <v>297</v>
      </c>
      <c r="B29" s="76" t="s">
        <v>298</v>
      </c>
      <c r="C29" s="75" t="s">
        <v>138</v>
      </c>
      <c r="D29" s="77">
        <v>1990</v>
      </c>
      <c r="E29" s="77">
        <v>790</v>
      </c>
      <c r="F29" s="75">
        <v>48</v>
      </c>
      <c r="G29" s="75">
        <v>22</v>
      </c>
      <c r="H29" s="75">
        <v>8</v>
      </c>
      <c r="I29" s="78">
        <f t="shared" si="0"/>
        <v>8.4480000000000004</v>
      </c>
      <c r="J29" s="78">
        <v>0.9</v>
      </c>
      <c r="K29" s="77">
        <v>25</v>
      </c>
      <c r="L29" s="75" t="s">
        <v>280</v>
      </c>
      <c r="M29" s="79" t="s">
        <v>281</v>
      </c>
      <c r="N29" s="80">
        <v>7.0000000000000007E-2</v>
      </c>
      <c r="O29" s="77">
        <v>90</v>
      </c>
      <c r="P29" s="75" t="s">
        <v>294</v>
      </c>
    </row>
    <row r="30" spans="1:16" ht="28.25" customHeight="1" x14ac:dyDescent="0.2">
      <c r="A30" s="75" t="s">
        <v>299</v>
      </c>
      <c r="B30" s="76" t="s">
        <v>300</v>
      </c>
      <c r="C30" s="75" t="s">
        <v>141</v>
      </c>
      <c r="D30" s="77">
        <v>2490</v>
      </c>
      <c r="E30" s="77">
        <v>880</v>
      </c>
      <c r="F30" s="75">
        <v>15</v>
      </c>
      <c r="G30" s="75">
        <v>7</v>
      </c>
      <c r="H30" s="75">
        <v>6</v>
      </c>
      <c r="I30" s="78">
        <f t="shared" si="0"/>
        <v>0.63</v>
      </c>
      <c r="J30" s="78">
        <v>0.1</v>
      </c>
      <c r="K30" s="77">
        <v>40</v>
      </c>
      <c r="L30" s="75" t="s">
        <v>280</v>
      </c>
      <c r="M30" s="79" t="s">
        <v>281</v>
      </c>
      <c r="N30" s="80">
        <v>0.05</v>
      </c>
      <c r="O30" s="77">
        <v>130</v>
      </c>
      <c r="P30" s="75" t="s">
        <v>294</v>
      </c>
    </row>
    <row r="31" spans="1:16" ht="28.25" customHeight="1" x14ac:dyDescent="0.2">
      <c r="A31" s="75" t="s">
        <v>301</v>
      </c>
      <c r="B31" s="76" t="s">
        <v>302</v>
      </c>
      <c r="C31" s="75" t="s">
        <v>138</v>
      </c>
      <c r="D31" s="77">
        <v>3490</v>
      </c>
      <c r="E31" s="77">
        <v>1520</v>
      </c>
      <c r="F31" s="75">
        <v>35</v>
      </c>
      <c r="G31" s="75">
        <v>20</v>
      </c>
      <c r="H31" s="75">
        <v>13</v>
      </c>
      <c r="I31" s="78">
        <f t="shared" si="0"/>
        <v>9.1</v>
      </c>
      <c r="J31" s="78">
        <v>0.8</v>
      </c>
      <c r="K31" s="77">
        <v>30</v>
      </c>
      <c r="L31" s="75" t="s">
        <v>280</v>
      </c>
      <c r="M31" s="79" t="s">
        <v>281</v>
      </c>
      <c r="N31" s="80">
        <v>0.06</v>
      </c>
      <c r="O31" s="77">
        <v>100</v>
      </c>
      <c r="P31" s="75" t="s">
        <v>294</v>
      </c>
    </row>
    <row r="32" spans="1:16" ht="28.25" customHeight="1" x14ac:dyDescent="0.2">
      <c r="A32" s="75" t="s">
        <v>303</v>
      </c>
      <c r="B32" s="76" t="s">
        <v>304</v>
      </c>
      <c r="C32" s="75" t="s">
        <v>141</v>
      </c>
      <c r="D32" s="77">
        <v>4990</v>
      </c>
      <c r="E32" s="77">
        <v>2250</v>
      </c>
      <c r="F32" s="75">
        <v>30</v>
      </c>
      <c r="G32" s="75">
        <v>25</v>
      </c>
      <c r="H32" s="75">
        <v>24</v>
      </c>
      <c r="I32" s="78">
        <f t="shared" si="0"/>
        <v>18</v>
      </c>
      <c r="J32" s="78">
        <v>0.7</v>
      </c>
      <c r="K32" s="77">
        <v>15</v>
      </c>
      <c r="L32" s="75" t="s">
        <v>280</v>
      </c>
      <c r="M32" s="79" t="s">
        <v>281</v>
      </c>
      <c r="N32" s="80">
        <v>0.09</v>
      </c>
      <c r="O32" s="77">
        <v>140</v>
      </c>
      <c r="P32" s="75" t="s">
        <v>305</v>
      </c>
    </row>
    <row r="33" spans="1:16" ht="28.25" customHeight="1" x14ac:dyDescent="0.2">
      <c r="A33" s="75" t="s">
        <v>306</v>
      </c>
      <c r="B33" s="76" t="s">
        <v>307</v>
      </c>
      <c r="C33" s="75" t="s">
        <v>141</v>
      </c>
      <c r="D33" s="77">
        <v>8990</v>
      </c>
      <c r="E33" s="77">
        <v>4280</v>
      </c>
      <c r="F33" s="75">
        <v>35</v>
      </c>
      <c r="G33" s="75">
        <v>32</v>
      </c>
      <c r="H33" s="75">
        <v>13</v>
      </c>
      <c r="I33" s="78">
        <f t="shared" si="0"/>
        <v>14.56</v>
      </c>
      <c r="J33" s="78">
        <v>2.4</v>
      </c>
      <c r="K33" s="77">
        <v>10</v>
      </c>
      <c r="L33" s="75" t="s">
        <v>280</v>
      </c>
      <c r="M33" s="79" t="s">
        <v>281</v>
      </c>
      <c r="N33" s="80">
        <v>7.0000000000000007E-2</v>
      </c>
      <c r="O33" s="77">
        <v>85</v>
      </c>
      <c r="P33" s="75" t="s">
        <v>305</v>
      </c>
    </row>
    <row r="34" spans="1:16" ht="28.25" customHeight="1" x14ac:dyDescent="0.2">
      <c r="A34" s="75" t="s">
        <v>308</v>
      </c>
      <c r="B34" s="76" t="s">
        <v>309</v>
      </c>
      <c r="C34" s="75" t="s">
        <v>141</v>
      </c>
      <c r="D34" s="77">
        <v>690</v>
      </c>
      <c r="E34" s="77">
        <v>210</v>
      </c>
      <c r="F34" s="75">
        <v>26</v>
      </c>
      <c r="G34" s="75">
        <v>8</v>
      </c>
      <c r="H34" s="75">
        <v>8</v>
      </c>
      <c r="I34" s="78">
        <f t="shared" si="0"/>
        <v>1.6639999999999999</v>
      </c>
      <c r="J34" s="78">
        <v>0.15</v>
      </c>
      <c r="K34" s="77">
        <v>520</v>
      </c>
      <c r="L34" s="75" t="s">
        <v>8</v>
      </c>
      <c r="M34" s="79">
        <v>92.494762942359799</v>
      </c>
      <c r="N34" s="80">
        <v>0.02</v>
      </c>
      <c r="O34" s="77">
        <v>1500</v>
      </c>
      <c r="P34" s="75"/>
    </row>
    <row r="35" spans="1:16" ht="28.25" customHeight="1" x14ac:dyDescent="0.2">
      <c r="A35" s="75" t="s">
        <v>310</v>
      </c>
      <c r="B35" s="76" t="s">
        <v>311</v>
      </c>
      <c r="C35" s="75" t="s">
        <v>141</v>
      </c>
      <c r="D35" s="77">
        <v>590</v>
      </c>
      <c r="E35" s="77">
        <v>175</v>
      </c>
      <c r="F35" s="75">
        <v>20</v>
      </c>
      <c r="G35" s="75">
        <v>12</v>
      </c>
      <c r="H35" s="75">
        <v>4</v>
      </c>
      <c r="I35" s="78">
        <f t="shared" si="0"/>
        <v>0.96</v>
      </c>
      <c r="J35" s="78">
        <v>0.15</v>
      </c>
      <c r="K35" s="77">
        <v>700</v>
      </c>
      <c r="L35" s="75" t="s">
        <v>8</v>
      </c>
      <c r="M35" s="79">
        <v>59.7839107128273</v>
      </c>
      <c r="N35" s="80">
        <v>0.03</v>
      </c>
      <c r="O35" s="77">
        <v>2100</v>
      </c>
      <c r="P35" s="75"/>
    </row>
    <row r="36" spans="1:16" ht="28.25" customHeight="1" x14ac:dyDescent="0.2">
      <c r="A36" s="75" t="s">
        <v>312</v>
      </c>
      <c r="B36" s="76" t="s">
        <v>313</v>
      </c>
      <c r="C36" s="75" t="s">
        <v>141</v>
      </c>
      <c r="D36" s="77">
        <v>690</v>
      </c>
      <c r="E36" s="77">
        <v>225</v>
      </c>
      <c r="F36" s="75">
        <v>18</v>
      </c>
      <c r="G36" s="75">
        <v>12</v>
      </c>
      <c r="H36" s="75">
        <v>3</v>
      </c>
      <c r="I36" s="78">
        <f t="shared" si="0"/>
        <v>0.64800000000000002</v>
      </c>
      <c r="J36" s="78">
        <v>0.1</v>
      </c>
      <c r="K36" s="77">
        <v>260</v>
      </c>
      <c r="L36" s="75" t="s">
        <v>8</v>
      </c>
      <c r="M36" s="79">
        <v>77.854435299336998</v>
      </c>
      <c r="N36" s="80">
        <v>0.05</v>
      </c>
      <c r="O36" s="77">
        <v>600</v>
      </c>
      <c r="P36" s="75"/>
    </row>
    <row r="37" spans="1:16" ht="28.25" customHeight="1" x14ac:dyDescent="0.2">
      <c r="A37" s="75" t="s">
        <v>314</v>
      </c>
      <c r="B37" s="76" t="s">
        <v>315</v>
      </c>
      <c r="C37" s="75" t="s">
        <v>141</v>
      </c>
      <c r="D37" s="77">
        <v>2990</v>
      </c>
      <c r="E37" s="77">
        <v>1180</v>
      </c>
      <c r="F37" s="75">
        <v>45</v>
      </c>
      <c r="G37" s="75">
        <v>30</v>
      </c>
      <c r="H37" s="75">
        <v>16</v>
      </c>
      <c r="I37" s="78">
        <f t="shared" si="0"/>
        <v>21.6</v>
      </c>
      <c r="J37" s="78">
        <v>0.7</v>
      </c>
      <c r="K37" s="77">
        <v>190</v>
      </c>
      <c r="L37" s="75" t="s">
        <v>8</v>
      </c>
      <c r="M37" s="79">
        <v>61.072119753919999</v>
      </c>
      <c r="N37" s="80">
        <v>0.08</v>
      </c>
      <c r="O37" s="77">
        <v>480</v>
      </c>
      <c r="P37" s="75"/>
    </row>
    <row r="38" spans="1:16" ht="28.25" customHeight="1" x14ac:dyDescent="0.2">
      <c r="A38" s="75" t="s">
        <v>316</v>
      </c>
      <c r="B38" s="76" t="s">
        <v>317</v>
      </c>
      <c r="C38" s="75" t="s">
        <v>141</v>
      </c>
      <c r="D38" s="77">
        <v>2490</v>
      </c>
      <c r="E38" s="77">
        <v>990</v>
      </c>
      <c r="F38" s="75">
        <v>55</v>
      </c>
      <c r="G38" s="75">
        <v>28</v>
      </c>
      <c r="H38" s="75">
        <v>28</v>
      </c>
      <c r="I38" s="78">
        <f t="shared" si="0"/>
        <v>43.12</v>
      </c>
      <c r="J38" s="78">
        <v>0.8</v>
      </c>
      <c r="K38" s="77">
        <v>140</v>
      </c>
      <c r="L38" s="75" t="s">
        <v>8</v>
      </c>
      <c r="M38" s="79">
        <v>69.625232455424296</v>
      </c>
      <c r="N38" s="80">
        <v>7.0000000000000007E-2</v>
      </c>
      <c r="O38" s="77">
        <v>380</v>
      </c>
      <c r="P38" s="75"/>
    </row>
    <row r="39" spans="1:16" ht="28.25" customHeight="1" x14ac:dyDescent="0.2">
      <c r="A39" s="75" t="s">
        <v>318</v>
      </c>
      <c r="B39" s="76" t="s">
        <v>319</v>
      </c>
      <c r="C39" s="75" t="s">
        <v>138</v>
      </c>
      <c r="D39" s="77">
        <v>1890</v>
      </c>
      <c r="E39" s="77">
        <v>690</v>
      </c>
      <c r="F39" s="75">
        <v>23</v>
      </c>
      <c r="G39" s="75">
        <v>23</v>
      </c>
      <c r="H39" s="75">
        <v>12</v>
      </c>
      <c r="I39" s="78">
        <f t="shared" si="0"/>
        <v>6.3479999999999999</v>
      </c>
      <c r="J39" s="78">
        <v>0.45</v>
      </c>
      <c r="K39" s="77">
        <v>210</v>
      </c>
      <c r="L39" s="75" t="s">
        <v>8</v>
      </c>
      <c r="M39" s="79">
        <v>73.412177068176007</v>
      </c>
      <c r="N39" s="80">
        <v>0.03</v>
      </c>
      <c r="O39" s="77">
        <v>520</v>
      </c>
      <c r="P39" s="75"/>
    </row>
    <row r="40" spans="1:16" ht="28.25" customHeight="1" x14ac:dyDescent="0.2">
      <c r="A40" s="75" t="s">
        <v>320</v>
      </c>
      <c r="B40" s="76" t="s">
        <v>321</v>
      </c>
      <c r="C40" s="75" t="s">
        <v>138</v>
      </c>
      <c r="D40" s="77">
        <v>2190</v>
      </c>
      <c r="E40" s="77">
        <v>830</v>
      </c>
      <c r="F40" s="75">
        <v>25</v>
      </c>
      <c r="G40" s="75">
        <v>25</v>
      </c>
      <c r="H40" s="75">
        <v>13</v>
      </c>
      <c r="I40" s="78">
        <f t="shared" si="0"/>
        <v>8.125</v>
      </c>
      <c r="J40" s="78">
        <v>0.6</v>
      </c>
      <c r="K40" s="77">
        <v>130</v>
      </c>
      <c r="L40" s="75" t="s">
        <v>8</v>
      </c>
      <c r="M40" s="79">
        <v>102.70632640284499</v>
      </c>
      <c r="N40" s="80">
        <v>0.04</v>
      </c>
      <c r="O40" s="77">
        <v>300</v>
      </c>
      <c r="P40" s="75"/>
    </row>
    <row r="41" spans="1:16" ht="28.25" customHeight="1" x14ac:dyDescent="0.2">
      <c r="A41" s="75" t="s">
        <v>322</v>
      </c>
      <c r="B41" s="76" t="s">
        <v>323</v>
      </c>
      <c r="C41" s="75" t="s">
        <v>136</v>
      </c>
      <c r="D41" s="77">
        <v>6990</v>
      </c>
      <c r="E41" s="77">
        <v>3250</v>
      </c>
      <c r="F41" s="75">
        <v>40</v>
      </c>
      <c r="G41" s="75">
        <v>35</v>
      </c>
      <c r="H41" s="75">
        <v>12</v>
      </c>
      <c r="I41" s="78">
        <f t="shared" si="0"/>
        <v>16.8</v>
      </c>
      <c r="J41" s="78">
        <v>2.6</v>
      </c>
      <c r="K41" s="77">
        <v>45</v>
      </c>
      <c r="L41" s="75" t="s">
        <v>8</v>
      </c>
      <c r="M41" s="79">
        <v>97.917270442629103</v>
      </c>
      <c r="N41" s="80">
        <v>0.11</v>
      </c>
      <c r="O41" s="77">
        <v>160</v>
      </c>
      <c r="P41" s="75"/>
    </row>
    <row r="43" spans="1:16" x14ac:dyDescent="0.2">
      <c r="B43" s="81" t="s">
        <v>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workbookViewId="0"/>
  </sheetViews>
  <sheetFormatPr baseColWidth="10" defaultColWidth="8.6640625" defaultRowHeight="15" x14ac:dyDescent="0.2"/>
  <cols>
    <col min="1" max="1" width="52" customWidth="1"/>
    <col min="2" max="2" width="16" customWidth="1"/>
    <col min="3" max="3" width="15.83203125" style="82" customWidth="1"/>
    <col min="4" max="4" width="60" customWidth="1"/>
  </cols>
  <sheetData>
    <row r="1" spans="1:4" ht="15.75" customHeight="1" x14ac:dyDescent="0.2">
      <c r="A1" s="83" t="s">
        <v>325</v>
      </c>
    </row>
    <row r="3" spans="1:4" ht="13" customHeight="1" x14ac:dyDescent="0.15">
      <c r="A3" s="84" t="s">
        <v>156</v>
      </c>
      <c r="B3" s="84" t="s">
        <v>115</v>
      </c>
      <c r="C3" s="85" t="s">
        <v>326</v>
      </c>
      <c r="D3" s="84" t="s">
        <v>235</v>
      </c>
    </row>
    <row r="4" spans="1:4" x14ac:dyDescent="0.2">
      <c r="A4" s="86" t="s">
        <v>327</v>
      </c>
      <c r="B4" s="87"/>
      <c r="C4" s="88"/>
      <c r="D4" s="87"/>
    </row>
    <row r="5" spans="1:4" ht="13" customHeight="1" x14ac:dyDescent="0.15">
      <c r="A5" s="89" t="s">
        <v>328</v>
      </c>
      <c r="B5" s="90">
        <v>0.16</v>
      </c>
      <c r="C5" s="91" t="s">
        <v>329</v>
      </c>
      <c r="D5" s="92"/>
    </row>
    <row r="6" spans="1:4" ht="13" customHeight="1" x14ac:dyDescent="0.15">
      <c r="A6" s="89" t="s">
        <v>330</v>
      </c>
      <c r="B6" s="90">
        <v>0.15</v>
      </c>
      <c r="C6" s="91" t="s">
        <v>329</v>
      </c>
      <c r="D6" s="92"/>
    </row>
    <row r="7" spans="1:4" ht="13" customHeight="1" x14ac:dyDescent="0.15">
      <c r="A7" s="89" t="s">
        <v>331</v>
      </c>
      <c r="B7" s="90">
        <v>0.17</v>
      </c>
      <c r="C7" s="91" t="s">
        <v>329</v>
      </c>
      <c r="D7" s="92"/>
    </row>
    <row r="8" spans="1:4" ht="13" customHeight="1" x14ac:dyDescent="0.15">
      <c r="A8" s="89" t="s">
        <v>332</v>
      </c>
      <c r="B8" s="90">
        <v>0.16</v>
      </c>
      <c r="C8" s="91" t="s">
        <v>329</v>
      </c>
      <c r="D8" s="92"/>
    </row>
    <row r="9" spans="1:4" ht="13" customHeight="1" x14ac:dyDescent="0.15">
      <c r="A9" s="89" t="s">
        <v>333</v>
      </c>
      <c r="B9" s="90">
        <v>0.15</v>
      </c>
      <c r="C9" s="91" t="s">
        <v>329</v>
      </c>
      <c r="D9" s="92"/>
    </row>
    <row r="10" spans="1:4" ht="13" customHeight="1" x14ac:dyDescent="0.15">
      <c r="A10" s="89" t="s">
        <v>334</v>
      </c>
      <c r="B10" s="90">
        <v>0.14000000000000001</v>
      </c>
      <c r="C10" s="91" t="s">
        <v>329</v>
      </c>
      <c r="D10" s="92"/>
    </row>
    <row r="11" spans="1:4" ht="13" customHeight="1" x14ac:dyDescent="0.15">
      <c r="A11" s="89" t="s">
        <v>335</v>
      </c>
      <c r="B11" s="90">
        <v>0.15</v>
      </c>
      <c r="C11" s="91" t="s">
        <v>329</v>
      </c>
      <c r="D11" s="92"/>
    </row>
    <row r="12" spans="1:4" ht="13" customHeight="1" x14ac:dyDescent="0.15">
      <c r="A12" s="89" t="s">
        <v>336</v>
      </c>
      <c r="B12" s="90">
        <v>0.14000000000000001</v>
      </c>
      <c r="C12" s="91" t="s">
        <v>329</v>
      </c>
      <c r="D12" s="92"/>
    </row>
    <row r="13" spans="1:4" ht="13" customHeight="1" x14ac:dyDescent="0.15">
      <c r="A13" s="89" t="s">
        <v>337</v>
      </c>
      <c r="B13" s="90">
        <v>0.12</v>
      </c>
      <c r="C13" s="91" t="s">
        <v>329</v>
      </c>
      <c r="D13" s="92"/>
    </row>
    <row r="14" spans="1:4" ht="13" customHeight="1" x14ac:dyDescent="0.15">
      <c r="A14" s="89" t="s">
        <v>338</v>
      </c>
      <c r="B14" s="90">
        <v>0.11</v>
      </c>
      <c r="C14" s="91" t="s">
        <v>329</v>
      </c>
      <c r="D14" s="92"/>
    </row>
    <row r="15" spans="1:4" ht="13" customHeight="1" x14ac:dyDescent="0.15">
      <c r="A15" s="89" t="s">
        <v>339</v>
      </c>
      <c r="B15" s="90">
        <v>0.18</v>
      </c>
      <c r="C15" s="91" t="s">
        <v>329</v>
      </c>
      <c r="D15" s="92"/>
    </row>
    <row r="16" spans="1:4" ht="13" customHeight="1" x14ac:dyDescent="0.15">
      <c r="A16" s="89" t="s">
        <v>340</v>
      </c>
      <c r="B16" s="90">
        <v>0.17</v>
      </c>
      <c r="C16" s="91" t="s">
        <v>329</v>
      </c>
      <c r="D16" s="92"/>
    </row>
    <row r="17" spans="1:4" x14ac:dyDescent="0.2">
      <c r="A17" s="86" t="s">
        <v>341</v>
      </c>
      <c r="B17" s="87"/>
      <c r="C17" s="88"/>
      <c r="D17" s="87"/>
    </row>
    <row r="18" spans="1:4" ht="14" customHeight="1" x14ac:dyDescent="0.15">
      <c r="A18" s="89" t="s">
        <v>342</v>
      </c>
      <c r="B18" s="93">
        <v>80</v>
      </c>
      <c r="C18" s="91" t="s">
        <v>343</v>
      </c>
      <c r="D18" s="92" t="s">
        <v>344</v>
      </c>
    </row>
    <row r="19" spans="1:4" ht="13" customHeight="1" x14ac:dyDescent="0.15">
      <c r="A19" s="89" t="s">
        <v>345</v>
      </c>
      <c r="B19" s="93">
        <v>10</v>
      </c>
      <c r="C19" s="91" t="s">
        <v>346</v>
      </c>
      <c r="D19" s="92"/>
    </row>
    <row r="20" spans="1:4" ht="13" customHeight="1" x14ac:dyDescent="0.15">
      <c r="A20" s="89" t="s">
        <v>347</v>
      </c>
      <c r="B20" s="93">
        <v>25</v>
      </c>
      <c r="C20" s="91" t="s">
        <v>343</v>
      </c>
      <c r="D20" s="92"/>
    </row>
    <row r="21" spans="1:4" ht="14" customHeight="1" x14ac:dyDescent="0.15">
      <c r="A21" s="89" t="s">
        <v>348</v>
      </c>
      <c r="B21" s="93">
        <v>0.45</v>
      </c>
      <c r="C21" s="91" t="s">
        <v>349</v>
      </c>
      <c r="D21" s="92" t="s">
        <v>350</v>
      </c>
    </row>
    <row r="22" spans="1:4" ht="14" customHeight="1" x14ac:dyDescent="0.15">
      <c r="A22" s="89" t="s">
        <v>351</v>
      </c>
      <c r="B22" s="93">
        <v>1</v>
      </c>
      <c r="C22" s="91" t="s">
        <v>352</v>
      </c>
      <c r="D22" s="92" t="s">
        <v>353</v>
      </c>
    </row>
    <row r="23" spans="1:4" x14ac:dyDescent="0.2">
      <c r="A23" s="86" t="s">
        <v>354</v>
      </c>
      <c r="B23" s="87"/>
      <c r="C23" s="88"/>
      <c r="D23" s="87"/>
    </row>
    <row r="24" spans="1:4" ht="13" customHeight="1" x14ac:dyDescent="0.15">
      <c r="A24" s="89" t="s">
        <v>355</v>
      </c>
      <c r="B24" s="93">
        <v>10</v>
      </c>
      <c r="C24" s="91" t="s">
        <v>343</v>
      </c>
      <c r="D24" s="92"/>
    </row>
    <row r="25" spans="1:4" ht="14" customHeight="1" x14ac:dyDescent="0.15">
      <c r="A25" s="89" t="s">
        <v>356</v>
      </c>
      <c r="B25" s="93">
        <v>80</v>
      </c>
      <c r="C25" s="91" t="s">
        <v>343</v>
      </c>
      <c r="D25" s="92" t="s">
        <v>344</v>
      </c>
    </row>
    <row r="26" spans="1:4" ht="13" customHeight="1" x14ac:dyDescent="0.15">
      <c r="A26" s="89" t="s">
        <v>357</v>
      </c>
      <c r="B26" s="93">
        <v>10</v>
      </c>
      <c r="C26" s="91" t="s">
        <v>346</v>
      </c>
      <c r="D26" s="92"/>
    </row>
    <row r="27" spans="1:4" ht="13" customHeight="1" x14ac:dyDescent="0.15">
      <c r="A27" s="89" t="s">
        <v>347</v>
      </c>
      <c r="B27" s="93">
        <v>25</v>
      </c>
      <c r="C27" s="91" t="s">
        <v>343</v>
      </c>
      <c r="D27" s="92"/>
    </row>
    <row r="28" spans="1:4" ht="14" customHeight="1" x14ac:dyDescent="0.15">
      <c r="A28" s="89" t="s">
        <v>358</v>
      </c>
      <c r="B28" s="93">
        <v>1</v>
      </c>
      <c r="C28" s="91" t="s">
        <v>359</v>
      </c>
      <c r="D28" s="92" t="s">
        <v>360</v>
      </c>
    </row>
    <row r="29" spans="1:4" ht="14" customHeight="1" x14ac:dyDescent="0.15">
      <c r="A29" s="89" t="s">
        <v>361</v>
      </c>
      <c r="B29" s="93">
        <v>150</v>
      </c>
      <c r="C29" s="91" t="s">
        <v>343</v>
      </c>
      <c r="D29" s="92" t="s">
        <v>362</v>
      </c>
    </row>
    <row r="30" spans="1:4" ht="14" customHeight="1" x14ac:dyDescent="0.15">
      <c r="A30" s="89" t="s">
        <v>363</v>
      </c>
      <c r="B30" s="93">
        <v>24</v>
      </c>
      <c r="C30" s="91" t="s">
        <v>364</v>
      </c>
      <c r="D30" s="92" t="s">
        <v>365</v>
      </c>
    </row>
    <row r="31" spans="1:4" x14ac:dyDescent="0.2">
      <c r="A31" s="86" t="s">
        <v>366</v>
      </c>
      <c r="B31" s="87"/>
      <c r="C31" s="88"/>
      <c r="D31" s="87"/>
    </row>
    <row r="32" spans="1:4" ht="14" customHeight="1" x14ac:dyDescent="0.15">
      <c r="A32" s="89" t="s">
        <v>29</v>
      </c>
      <c r="B32" s="94">
        <v>1.4999999999999999E-2</v>
      </c>
      <c r="C32" s="91" t="s">
        <v>329</v>
      </c>
      <c r="D32" s="92" t="s">
        <v>367</v>
      </c>
    </row>
    <row r="33" spans="1:4" ht="14" customHeight="1" x14ac:dyDescent="0.15">
      <c r="A33" s="89" t="s">
        <v>368</v>
      </c>
      <c r="B33" s="93" t="s">
        <v>369</v>
      </c>
      <c r="C33" s="91"/>
      <c r="D33" s="92" t="s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workbookViewId="0"/>
  </sheetViews>
  <sheetFormatPr baseColWidth="10" defaultColWidth="8.6640625" defaultRowHeight="15" x14ac:dyDescent="0.2"/>
  <cols>
    <col min="1" max="1" width="52" customWidth="1"/>
    <col min="2" max="2" width="16" customWidth="1"/>
    <col min="3" max="3" width="14" style="82" customWidth="1"/>
    <col min="4" max="4" width="60" customWidth="1"/>
  </cols>
  <sheetData>
    <row r="1" spans="1:4" ht="15.75" customHeight="1" x14ac:dyDescent="0.2">
      <c r="A1" s="95" t="s">
        <v>371</v>
      </c>
    </row>
    <row r="3" spans="1:4" ht="13" customHeight="1" x14ac:dyDescent="0.15">
      <c r="A3" s="84" t="s">
        <v>156</v>
      </c>
      <c r="B3" s="84" t="s">
        <v>115</v>
      </c>
      <c r="C3" s="85" t="s">
        <v>326</v>
      </c>
      <c r="D3" s="84" t="s">
        <v>235</v>
      </c>
    </row>
    <row r="4" spans="1:4" x14ac:dyDescent="0.2">
      <c r="A4" s="86" t="s">
        <v>372</v>
      </c>
      <c r="B4" s="87"/>
      <c r="C4" s="88"/>
      <c r="D4" s="87"/>
    </row>
    <row r="5" spans="1:4" ht="14" customHeight="1" x14ac:dyDescent="0.15">
      <c r="A5" s="89" t="s">
        <v>373</v>
      </c>
      <c r="B5" s="93">
        <v>0.15</v>
      </c>
      <c r="C5" s="91" t="s">
        <v>349</v>
      </c>
      <c r="D5" s="92" t="s">
        <v>374</v>
      </c>
    </row>
    <row r="6" spans="1:4" ht="13" customHeight="1" x14ac:dyDescent="0.15">
      <c r="A6" s="89" t="s">
        <v>375</v>
      </c>
      <c r="B6" s="93">
        <v>60</v>
      </c>
      <c r="C6" s="91" t="s">
        <v>343</v>
      </c>
      <c r="D6" s="92"/>
    </row>
    <row r="7" spans="1:4" ht="13" customHeight="1" x14ac:dyDescent="0.15">
      <c r="A7" s="89" t="s">
        <v>376</v>
      </c>
      <c r="B7" s="93">
        <v>10</v>
      </c>
      <c r="C7" s="91" t="s">
        <v>343</v>
      </c>
      <c r="D7" s="92"/>
    </row>
    <row r="8" spans="1:4" ht="25.5" customHeight="1" x14ac:dyDescent="0.15">
      <c r="A8" s="89" t="s">
        <v>377</v>
      </c>
      <c r="B8" s="93">
        <v>2500</v>
      </c>
      <c r="C8" s="91" t="s">
        <v>378</v>
      </c>
      <c r="D8" s="92" t="s">
        <v>379</v>
      </c>
    </row>
    <row r="9" spans="1:4" ht="13" customHeight="1" x14ac:dyDescent="0.15">
      <c r="A9" s="89" t="s">
        <v>380</v>
      </c>
      <c r="B9" s="93">
        <v>100</v>
      </c>
      <c r="C9" s="91" t="s">
        <v>381</v>
      </c>
      <c r="D9" s="92"/>
    </row>
    <row r="10" spans="1:4" ht="14" customHeight="1" x14ac:dyDescent="0.15">
      <c r="A10" s="89" t="s">
        <v>382</v>
      </c>
      <c r="B10" s="90">
        <v>0.85</v>
      </c>
      <c r="C10" s="91" t="s">
        <v>383</v>
      </c>
      <c r="D10" s="92" t="s">
        <v>384</v>
      </c>
    </row>
    <row r="11" spans="1:4" x14ac:dyDescent="0.2">
      <c r="A11" s="86" t="s">
        <v>385</v>
      </c>
      <c r="B11" s="87"/>
      <c r="C11" s="88"/>
      <c r="D11" s="87"/>
    </row>
    <row r="12" spans="1:4" ht="25.5" customHeight="1" x14ac:dyDescent="0.15">
      <c r="A12" s="89" t="s">
        <v>386</v>
      </c>
      <c r="B12" s="96">
        <v>2.5</v>
      </c>
      <c r="C12" s="91" t="s">
        <v>346</v>
      </c>
      <c r="D12" s="92" t="s">
        <v>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showGridLines="0" topLeftCell="A13" workbookViewId="0"/>
  </sheetViews>
  <sheetFormatPr baseColWidth="10" defaultColWidth="8.6640625" defaultRowHeight="13" x14ac:dyDescent="0.15"/>
  <cols>
    <col min="1" max="1" width="6" customWidth="1"/>
    <col min="2" max="2" width="22" customWidth="1"/>
    <col min="3" max="4" width="58" customWidth="1"/>
  </cols>
  <sheetData>
    <row r="1" spans="1:4" ht="24" customHeight="1" x14ac:dyDescent="0.15">
      <c r="A1" s="109" t="s">
        <v>388</v>
      </c>
      <c r="B1" s="110"/>
      <c r="C1" s="110"/>
      <c r="D1" s="110"/>
    </row>
    <row r="2" spans="1:4" ht="10" customHeight="1" x14ac:dyDescent="0.15">
      <c r="A2" s="97"/>
      <c r="B2" s="97"/>
      <c r="C2" s="97"/>
      <c r="D2" s="97"/>
    </row>
    <row r="3" spans="1:4" ht="25" customHeight="1" x14ac:dyDescent="0.15">
      <c r="A3" s="98" t="s">
        <v>389</v>
      </c>
      <c r="B3" s="98" t="s">
        <v>390</v>
      </c>
      <c r="C3" s="98" t="s">
        <v>391</v>
      </c>
      <c r="D3" s="98" t="s">
        <v>392</v>
      </c>
    </row>
    <row r="4" spans="1:4" ht="48" customHeight="1" x14ac:dyDescent="0.15">
      <c r="A4" s="99">
        <v>1</v>
      </c>
      <c r="B4" s="100" t="s">
        <v>393</v>
      </c>
      <c r="C4" s="100" t="s">
        <v>394</v>
      </c>
      <c r="D4" s="100" t="s">
        <v>395</v>
      </c>
    </row>
    <row r="5" spans="1:4" ht="48" customHeight="1" x14ac:dyDescent="0.15">
      <c r="A5" s="99">
        <v>2</v>
      </c>
      <c r="B5" s="100" t="s">
        <v>396</v>
      </c>
      <c r="C5" s="100" t="s">
        <v>397</v>
      </c>
      <c r="D5" s="100" t="s">
        <v>398</v>
      </c>
    </row>
    <row r="6" spans="1:4" ht="48" customHeight="1" x14ac:dyDescent="0.15">
      <c r="A6" s="99">
        <v>3</v>
      </c>
      <c r="B6" s="100" t="s">
        <v>399</v>
      </c>
      <c r="C6" s="100" t="s">
        <v>400</v>
      </c>
      <c r="D6" s="100" t="s">
        <v>401</v>
      </c>
    </row>
    <row r="7" spans="1:4" ht="48" customHeight="1" x14ac:dyDescent="0.15">
      <c r="A7" s="99">
        <v>4</v>
      </c>
      <c r="B7" s="100" t="s">
        <v>402</v>
      </c>
      <c r="C7" s="100" t="s">
        <v>403</v>
      </c>
      <c r="D7" s="100" t="s">
        <v>404</v>
      </c>
    </row>
    <row r="8" spans="1:4" ht="48" customHeight="1" x14ac:dyDescent="0.15">
      <c r="A8" s="99">
        <v>5</v>
      </c>
      <c r="B8" s="100" t="s">
        <v>405</v>
      </c>
      <c r="C8" s="100" t="s">
        <v>406</v>
      </c>
      <c r="D8" s="100" t="s">
        <v>407</v>
      </c>
    </row>
    <row r="9" spans="1:4" ht="64" customHeight="1" x14ac:dyDescent="0.15">
      <c r="A9" s="99">
        <v>6</v>
      </c>
      <c r="B9" s="100" t="s">
        <v>408</v>
      </c>
      <c r="C9" s="100" t="s">
        <v>409</v>
      </c>
      <c r="D9" s="100" t="s">
        <v>410</v>
      </c>
    </row>
    <row r="10" spans="1:4" ht="48" customHeight="1" x14ac:dyDescent="0.15">
      <c r="A10" s="99">
        <v>7</v>
      </c>
      <c r="B10" s="100" t="s">
        <v>32</v>
      </c>
      <c r="C10" s="100" t="s">
        <v>411</v>
      </c>
      <c r="D10" s="100" t="s">
        <v>412</v>
      </c>
    </row>
    <row r="11" spans="1:4" ht="48" customHeight="1" x14ac:dyDescent="0.15">
      <c r="A11" s="99">
        <v>8</v>
      </c>
      <c r="B11" s="100" t="s">
        <v>413</v>
      </c>
      <c r="C11" s="100" t="s">
        <v>414</v>
      </c>
      <c r="D11" s="100" t="s">
        <v>415</v>
      </c>
    </row>
    <row r="12" spans="1:4" ht="64" customHeight="1" x14ac:dyDescent="0.15">
      <c r="A12" s="99">
        <v>9</v>
      </c>
      <c r="B12" s="100" t="s">
        <v>416</v>
      </c>
      <c r="C12" s="100" t="s">
        <v>417</v>
      </c>
      <c r="D12" s="100" t="s">
        <v>418</v>
      </c>
    </row>
    <row r="13" spans="1:4" ht="48" customHeight="1" x14ac:dyDescent="0.15">
      <c r="A13" s="99">
        <v>10</v>
      </c>
      <c r="B13" s="100" t="s">
        <v>413</v>
      </c>
      <c r="C13" s="100" t="s">
        <v>419</v>
      </c>
      <c r="D13" s="100" t="s">
        <v>420</v>
      </c>
    </row>
    <row r="14" spans="1:4" ht="64" customHeight="1" x14ac:dyDescent="0.15">
      <c r="A14" s="99">
        <v>11</v>
      </c>
      <c r="B14" s="100" t="s">
        <v>421</v>
      </c>
      <c r="C14" s="100" t="s">
        <v>422</v>
      </c>
      <c r="D14" s="100" t="s">
        <v>423</v>
      </c>
    </row>
    <row r="15" spans="1:4" ht="48" customHeight="1" x14ac:dyDescent="0.15">
      <c r="A15" s="99">
        <v>12</v>
      </c>
      <c r="B15" s="100" t="s">
        <v>424</v>
      </c>
      <c r="C15" s="100" t="s">
        <v>425</v>
      </c>
      <c r="D15" s="100" t="s">
        <v>426</v>
      </c>
    </row>
    <row r="16" spans="1:4" ht="48" customHeight="1" x14ac:dyDescent="0.15">
      <c r="A16" s="99">
        <v>13</v>
      </c>
      <c r="B16" s="100" t="s">
        <v>427</v>
      </c>
      <c r="C16" s="100" t="s">
        <v>428</v>
      </c>
      <c r="D16" s="100" t="s">
        <v>426</v>
      </c>
    </row>
    <row r="17" spans="1:4" ht="64" customHeight="1" x14ac:dyDescent="0.15">
      <c r="A17" s="99">
        <v>14</v>
      </c>
      <c r="B17" s="100" t="s">
        <v>429</v>
      </c>
      <c r="C17" s="100" t="s">
        <v>430</v>
      </c>
      <c r="D17" s="100" t="s">
        <v>431</v>
      </c>
    </row>
    <row r="18" spans="1:4" ht="48" customHeight="1" x14ac:dyDescent="0.15">
      <c r="A18" s="99">
        <v>15</v>
      </c>
      <c r="B18" s="100" t="s">
        <v>432</v>
      </c>
      <c r="C18" s="100" t="s">
        <v>433</v>
      </c>
      <c r="D18" s="100" t="s">
        <v>434</v>
      </c>
    </row>
    <row r="19" spans="1:4" ht="48" customHeight="1" x14ac:dyDescent="0.15">
      <c r="A19" s="99">
        <v>16</v>
      </c>
      <c r="B19" s="100" t="s">
        <v>435</v>
      </c>
      <c r="C19" s="100" t="s">
        <v>436</v>
      </c>
      <c r="D19" s="100" t="s">
        <v>437</v>
      </c>
    </row>
    <row r="20" spans="1:4" ht="48" customHeight="1" x14ac:dyDescent="0.15">
      <c r="A20" s="99">
        <v>17</v>
      </c>
      <c r="B20" s="100" t="s">
        <v>438</v>
      </c>
      <c r="C20" s="100" t="s">
        <v>439</v>
      </c>
      <c r="D20" s="100" t="s">
        <v>440</v>
      </c>
    </row>
    <row r="21" spans="1:4" ht="48" customHeight="1" x14ac:dyDescent="0.15">
      <c r="A21" s="99">
        <v>18</v>
      </c>
      <c r="B21" s="100" t="s">
        <v>38</v>
      </c>
      <c r="C21" s="100" t="s">
        <v>441</v>
      </c>
      <c r="D21" s="100" t="s">
        <v>442</v>
      </c>
    </row>
    <row r="22" spans="1:4" ht="64" customHeight="1" x14ac:dyDescent="0.15">
      <c r="A22" s="99">
        <v>19</v>
      </c>
      <c r="B22" s="100" t="s">
        <v>443</v>
      </c>
      <c r="C22" s="100" t="s">
        <v>444</v>
      </c>
      <c r="D22" s="100" t="s">
        <v>445</v>
      </c>
    </row>
    <row r="23" spans="1:4" ht="48" customHeight="1" x14ac:dyDescent="0.15">
      <c r="A23" s="99">
        <v>20</v>
      </c>
      <c r="B23" s="100" t="s">
        <v>446</v>
      </c>
      <c r="C23" s="100" t="s">
        <v>447</v>
      </c>
      <c r="D23" s="100" t="s">
        <v>448</v>
      </c>
    </row>
    <row r="24" spans="1:4" ht="48" customHeight="1" x14ac:dyDescent="0.15">
      <c r="A24" s="99">
        <v>21</v>
      </c>
      <c r="B24" s="100" t="s">
        <v>449</v>
      </c>
      <c r="C24" s="100" t="s">
        <v>450</v>
      </c>
      <c r="D24" s="100" t="s">
        <v>451</v>
      </c>
    </row>
    <row r="25" spans="1:4" ht="64" customHeight="1" x14ac:dyDescent="0.15">
      <c r="A25" s="99">
        <v>22</v>
      </c>
      <c r="B25" s="100" t="s">
        <v>174</v>
      </c>
      <c r="C25" s="100" t="s">
        <v>452</v>
      </c>
      <c r="D25" s="100" t="s">
        <v>431</v>
      </c>
    </row>
    <row r="26" spans="1:4" ht="48" customHeight="1" x14ac:dyDescent="0.15">
      <c r="A26" s="99">
        <v>23</v>
      </c>
      <c r="B26" s="100" t="s">
        <v>453</v>
      </c>
      <c r="C26" s="100" t="s">
        <v>454</v>
      </c>
      <c r="D26" s="100" t="s">
        <v>455</v>
      </c>
    </row>
    <row r="27" spans="1:4" ht="64" customHeight="1" x14ac:dyDescent="0.15">
      <c r="A27" s="99">
        <v>24</v>
      </c>
      <c r="B27" s="100" t="s">
        <v>456</v>
      </c>
      <c r="C27" s="100" t="s">
        <v>457</v>
      </c>
      <c r="D27" s="100" t="s">
        <v>458</v>
      </c>
    </row>
    <row r="28" spans="1:4" ht="64" customHeight="1" x14ac:dyDescent="0.15">
      <c r="A28" s="99">
        <v>25</v>
      </c>
      <c r="B28" s="100" t="s">
        <v>459</v>
      </c>
      <c r="C28" s="100" t="s">
        <v>460</v>
      </c>
      <c r="D28" s="100" t="s">
        <v>461</v>
      </c>
    </row>
    <row r="29" spans="1:4" ht="48" customHeight="1" x14ac:dyDescent="0.15">
      <c r="A29" s="99">
        <v>26</v>
      </c>
      <c r="B29" s="100" t="s">
        <v>462</v>
      </c>
      <c r="C29" s="100" t="s">
        <v>463</v>
      </c>
      <c r="D29" s="100" t="s">
        <v>464</v>
      </c>
    </row>
    <row r="30" spans="1:4" ht="64" customHeight="1" x14ac:dyDescent="0.15">
      <c r="A30" s="99">
        <v>27</v>
      </c>
      <c r="B30" s="100" t="s">
        <v>465</v>
      </c>
      <c r="C30" s="100" t="s">
        <v>466</v>
      </c>
      <c r="D30" s="100" t="s">
        <v>467</v>
      </c>
    </row>
    <row r="31" spans="1:4" ht="48" customHeight="1" x14ac:dyDescent="0.15">
      <c r="A31" s="99">
        <v>28</v>
      </c>
      <c r="B31" s="100" t="s">
        <v>468</v>
      </c>
      <c r="C31" s="100" t="s">
        <v>469</v>
      </c>
      <c r="D31" s="100" t="s">
        <v>470</v>
      </c>
    </row>
    <row r="32" spans="1:4" ht="64" customHeight="1" x14ac:dyDescent="0.15">
      <c r="A32" s="99">
        <v>29</v>
      </c>
      <c r="B32" s="100" t="s">
        <v>471</v>
      </c>
      <c r="C32" s="100" t="s">
        <v>472</v>
      </c>
      <c r="D32" s="100" t="s">
        <v>473</v>
      </c>
    </row>
    <row r="33" spans="1:4" ht="42" x14ac:dyDescent="0.15">
      <c r="A33" s="123">
        <v>30</v>
      </c>
      <c r="B33" s="124" t="s">
        <v>474</v>
      </c>
      <c r="C33" s="119" t="s">
        <v>475</v>
      </c>
      <c r="D33" s="120" t="s">
        <v>476</v>
      </c>
    </row>
    <row r="34" spans="1:4" ht="42" x14ac:dyDescent="0.15">
      <c r="A34" s="125">
        <v>31</v>
      </c>
      <c r="B34" s="126" t="s">
        <v>477</v>
      </c>
      <c r="C34" s="121" t="s">
        <v>478</v>
      </c>
      <c r="D34" s="122" t="s">
        <v>479</v>
      </c>
    </row>
    <row r="35" spans="1:4" x14ac:dyDescent="0.15">
      <c r="A35">
        <v>32</v>
      </c>
      <c r="B35" t="s">
        <v>480</v>
      </c>
      <c r="C35" t="s">
        <v>481</v>
      </c>
      <c r="D35" t="s">
        <v>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0"/>
  <sheetViews>
    <sheetView topLeftCell="E1" workbookViewId="0">
      <selection activeCell="N23" sqref="N23"/>
    </sheetView>
  </sheetViews>
  <sheetFormatPr baseColWidth="10" defaultColWidth="8.83203125" defaultRowHeight="13" x14ac:dyDescent="0.15"/>
  <cols>
    <col min="1" max="1" width="27" customWidth="1"/>
    <col min="2" max="2" width="16" customWidth="1"/>
    <col min="3" max="3" width="28" customWidth="1"/>
    <col min="5" max="5" width="27" customWidth="1"/>
    <col min="6" max="6" width="16" customWidth="1"/>
    <col min="7" max="7" width="28" customWidth="1"/>
    <col min="9" max="9" width="27" customWidth="1"/>
    <col min="10" max="10" width="16" customWidth="1"/>
    <col min="11" max="11" width="28" customWidth="1"/>
    <col min="13" max="13" width="27" customWidth="1"/>
    <col min="14" max="14" width="16" customWidth="1"/>
    <col min="15" max="15" width="28" customWidth="1"/>
  </cols>
  <sheetData>
    <row r="1" spans="1:15" x14ac:dyDescent="0.15">
      <c r="A1" s="193" t="s">
        <v>483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x14ac:dyDescent="0.15">
      <c r="A2" s="194" t="s">
        <v>484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</row>
    <row r="3" spans="1:15" x14ac:dyDescent="0.1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1:15" x14ac:dyDescent="0.15">
      <c r="A4" s="195" t="s">
        <v>8</v>
      </c>
      <c r="B4" s="196"/>
      <c r="C4" s="197"/>
      <c r="D4" s="142"/>
      <c r="E4" s="195" t="s">
        <v>9</v>
      </c>
      <c r="F4" s="196"/>
      <c r="G4" s="197"/>
      <c r="H4" s="142"/>
      <c r="I4" s="195" t="s">
        <v>10</v>
      </c>
      <c r="J4" s="196"/>
      <c r="K4" s="197"/>
      <c r="L4" s="142"/>
      <c r="M4" s="195" t="s">
        <v>11</v>
      </c>
      <c r="N4" s="196"/>
      <c r="O4" s="197"/>
    </row>
    <row r="5" spans="1:15" x14ac:dyDescent="0.15">
      <c r="A5" s="128" t="s">
        <v>485</v>
      </c>
      <c r="B5" s="129" t="s">
        <v>115</v>
      </c>
      <c r="C5" s="130" t="s">
        <v>235</v>
      </c>
      <c r="D5" s="142"/>
      <c r="E5" s="128" t="s">
        <v>485</v>
      </c>
      <c r="F5" s="129" t="s">
        <v>115</v>
      </c>
      <c r="G5" s="130" t="s">
        <v>235</v>
      </c>
      <c r="H5" s="142"/>
      <c r="I5" s="128" t="s">
        <v>485</v>
      </c>
      <c r="J5" s="129" t="s">
        <v>115</v>
      </c>
      <c r="K5" s="130" t="s">
        <v>235</v>
      </c>
      <c r="L5" s="142"/>
      <c r="M5" s="128" t="s">
        <v>485</v>
      </c>
      <c r="N5" s="129" t="s">
        <v>115</v>
      </c>
      <c r="O5" s="130" t="s">
        <v>235</v>
      </c>
    </row>
    <row r="6" spans="1:15" x14ac:dyDescent="0.15">
      <c r="A6" s="143" t="s">
        <v>486</v>
      </c>
      <c r="B6" s="144">
        <f>Итоги!C12</f>
        <v>38</v>
      </c>
      <c r="C6" s="145" t="s">
        <v>487</v>
      </c>
      <c r="D6" s="142"/>
      <c r="E6" s="143" t="s">
        <v>486</v>
      </c>
      <c r="F6" s="144">
        <f>Итоги!D12</f>
        <v>0</v>
      </c>
      <c r="G6" s="145" t="s">
        <v>487</v>
      </c>
      <c r="H6" s="142"/>
      <c r="I6" s="143" t="s">
        <v>486</v>
      </c>
      <c r="J6" s="144">
        <f>Итоги!E12</f>
        <v>17</v>
      </c>
      <c r="K6" s="145" t="s">
        <v>487</v>
      </c>
      <c r="L6" s="142"/>
      <c r="M6" s="143" t="s">
        <v>486</v>
      </c>
      <c r="N6" s="144">
        <f>Итоги!F12</f>
        <v>17</v>
      </c>
      <c r="O6" s="145" t="s">
        <v>487</v>
      </c>
    </row>
    <row r="7" spans="1:15" x14ac:dyDescent="0.15">
      <c r="A7" s="146" t="s">
        <v>12</v>
      </c>
      <c r="B7" s="147">
        <f>Итоги!C13</f>
        <v>0</v>
      </c>
      <c r="C7" s="148" t="s">
        <v>488</v>
      </c>
      <c r="D7" s="142"/>
      <c r="E7" s="146" t="s">
        <v>12</v>
      </c>
      <c r="F7" s="147">
        <f>Итоги!D13</f>
        <v>38</v>
      </c>
      <c r="G7" s="148" t="s">
        <v>488</v>
      </c>
      <c r="H7" s="142"/>
      <c r="I7" s="146" t="s">
        <v>12</v>
      </c>
      <c r="J7" s="147">
        <f>Итоги!E13</f>
        <v>21</v>
      </c>
      <c r="K7" s="148" t="s">
        <v>488</v>
      </c>
      <c r="L7" s="142"/>
      <c r="M7" s="146" t="s">
        <v>12</v>
      </c>
      <c r="N7" s="147">
        <f>Итоги!F13</f>
        <v>21</v>
      </c>
      <c r="O7" s="148" t="s">
        <v>488</v>
      </c>
    </row>
    <row r="8" spans="1:15" x14ac:dyDescent="0.15">
      <c r="A8" s="146" t="s">
        <v>13</v>
      </c>
      <c r="B8" s="147">
        <f>Итоги!C14</f>
        <v>2</v>
      </c>
      <c r="C8" s="148" t="s">
        <v>488</v>
      </c>
      <c r="D8" s="142"/>
      <c r="E8" s="146" t="s">
        <v>13</v>
      </c>
      <c r="F8" s="147">
        <f>Итоги!D14</f>
        <v>2</v>
      </c>
      <c r="G8" s="148" t="s">
        <v>488</v>
      </c>
      <c r="H8" s="142"/>
      <c r="I8" s="146" t="s">
        <v>13</v>
      </c>
      <c r="J8" s="147">
        <f>Итоги!E14</f>
        <v>2</v>
      </c>
      <c r="K8" s="148" t="s">
        <v>488</v>
      </c>
      <c r="L8" s="142"/>
      <c r="M8" s="146" t="s">
        <v>13</v>
      </c>
      <c r="N8" s="147">
        <f>Итоги!F14</f>
        <v>2</v>
      </c>
      <c r="O8" s="148" t="s">
        <v>488</v>
      </c>
    </row>
    <row r="9" spans="1:15" ht="26" x14ac:dyDescent="0.15">
      <c r="A9" s="146" t="s">
        <v>15</v>
      </c>
      <c r="B9" s="147">
        <f>Итоги!C15</f>
        <v>0</v>
      </c>
      <c r="C9" s="148" t="s">
        <v>489</v>
      </c>
      <c r="D9" s="142"/>
      <c r="E9" s="146" t="s">
        <v>15</v>
      </c>
      <c r="F9" s="147">
        <f>Итоги!D15</f>
        <v>30</v>
      </c>
      <c r="G9" s="148" t="s">
        <v>489</v>
      </c>
      <c r="H9" s="142"/>
      <c r="I9" s="146" t="s">
        <v>15</v>
      </c>
      <c r="J9" s="147">
        <f>Итоги!E15</f>
        <v>30</v>
      </c>
      <c r="K9" s="148" t="s">
        <v>489</v>
      </c>
      <c r="L9" s="142"/>
      <c r="M9" s="146" t="s">
        <v>15</v>
      </c>
      <c r="N9" s="147">
        <f>Итоги!F15</f>
        <v>0</v>
      </c>
      <c r="O9" s="148" t="s">
        <v>489</v>
      </c>
    </row>
    <row r="10" spans="1:15" x14ac:dyDescent="0.15">
      <c r="A10" s="146" t="s">
        <v>490</v>
      </c>
      <c r="B10" s="147">
        <f>SUMPRODUCT((Модель!S5:S44&lt;&gt;"Пауза")*Модель!X5:X44)</f>
        <v>7077</v>
      </c>
      <c r="C10" s="148" t="s">
        <v>491</v>
      </c>
      <c r="D10" s="142"/>
      <c r="E10" s="146" t="s">
        <v>490</v>
      </c>
      <c r="F10" s="147">
        <f>SUMPRODUCT((Модель!S5:S44&lt;&gt;"Пауза")*Модель!AK5:AK44)</f>
        <v>6348</v>
      </c>
      <c r="G10" s="148" t="s">
        <v>491</v>
      </c>
      <c r="H10" s="142"/>
      <c r="I10" s="146" t="s">
        <v>490</v>
      </c>
      <c r="J10" s="147">
        <f>SUM(Модель!BA5:BA44)</f>
        <v>6935</v>
      </c>
      <c r="K10" s="148" t="s">
        <v>491</v>
      </c>
      <c r="L10" s="142"/>
      <c r="M10" s="146" t="s">
        <v>490</v>
      </c>
      <c r="N10" s="147">
        <f>SUM(Модель!BA5:BA44)</f>
        <v>6935</v>
      </c>
      <c r="O10" s="148" t="s">
        <v>491</v>
      </c>
    </row>
    <row r="11" spans="1:15" x14ac:dyDescent="0.15">
      <c r="A11" s="146" t="s">
        <v>492</v>
      </c>
      <c r="B11" s="147">
        <f>SUMPRODUCT((Модель!S5:S44&lt;&gt;"Пауза")*Модель!G5:G44)</f>
        <v>6471</v>
      </c>
      <c r="C11" s="148" t="s">
        <v>493</v>
      </c>
      <c r="D11" s="142"/>
      <c r="E11" s="146" t="s">
        <v>492</v>
      </c>
      <c r="F11" s="147">
        <f>SUMPRODUCT((Модель!S5:S44&lt;&gt;"Пауза")*Модель!AM5:AM44)</f>
        <v>5801</v>
      </c>
      <c r="G11" s="148" t="s">
        <v>493</v>
      </c>
      <c r="H11" s="142"/>
      <c r="I11" s="146" t="s">
        <v>492</v>
      </c>
      <c r="J11" s="147">
        <f>SUM(Модель!AZ5:AZ44)</f>
        <v>6338</v>
      </c>
      <c r="K11" s="148" t="s">
        <v>493</v>
      </c>
      <c r="L11" s="142"/>
      <c r="M11" s="146" t="s">
        <v>492</v>
      </c>
      <c r="N11" s="147">
        <f>SUM(Модель!AZ5:AZ44)</f>
        <v>6338</v>
      </c>
      <c r="O11" s="148" t="s">
        <v>493</v>
      </c>
    </row>
    <row r="12" spans="1:15" x14ac:dyDescent="0.15">
      <c r="A12" s="146" t="s">
        <v>494</v>
      </c>
      <c r="B12" s="147">
        <f>SUMPRODUCT((Модель!S5:S44&lt;&gt;"Пауза")*Модель!Y5:Y44)</f>
        <v>606</v>
      </c>
      <c r="C12" s="148" t="s">
        <v>495</v>
      </c>
      <c r="D12" s="142"/>
      <c r="E12" s="146" t="s">
        <v>494</v>
      </c>
      <c r="F12" s="147">
        <f>SUMPRODUCT((Модель!S5:S44&lt;&gt;"Пауза")*Модель!AL5:AL44)</f>
        <v>547</v>
      </c>
      <c r="G12" s="148" t="s">
        <v>495</v>
      </c>
      <c r="H12" s="142"/>
      <c r="I12" s="146" t="s">
        <v>494</v>
      </c>
      <c r="J12" s="147">
        <f>SUMPRODUCT((Модель!S5:S44="FBO")*Модель!Y5:Y44)+SUMPRODUCT((Модель!S5:S44="FBS")*Модель!AL5:AL44)</f>
        <v>597</v>
      </c>
      <c r="K12" s="148" t="s">
        <v>495</v>
      </c>
      <c r="L12" s="142"/>
      <c r="M12" s="146" t="s">
        <v>494</v>
      </c>
      <c r="N12" s="147">
        <f>SUMPRODUCT((Модель!S5:S44="FBO")*Модель!Y5:Y44)+SUMPRODUCT((Модель!S5:S44="FBS")*Модель!AL5:AL44)</f>
        <v>597</v>
      </c>
      <c r="O12" s="148" t="s">
        <v>495</v>
      </c>
    </row>
    <row r="13" spans="1:15" ht="26" x14ac:dyDescent="0.15">
      <c r="A13" s="146" t="s">
        <v>496</v>
      </c>
      <c r="B13" s="147">
        <f>0</f>
        <v>0</v>
      </c>
      <c r="C13" s="148" t="s">
        <v>497</v>
      </c>
      <c r="D13" s="142"/>
      <c r="E13" s="146" t="s">
        <v>496</v>
      </c>
      <c r="F13" s="147">
        <f>SUMPRODUCT((Модель!S5:S44&lt;&gt;"Пауза")*Модель!AJ5:AJ44)</f>
        <v>729</v>
      </c>
      <c r="G13" s="148" t="s">
        <v>497</v>
      </c>
      <c r="H13" s="142"/>
      <c r="I13" s="146" t="s">
        <v>496</v>
      </c>
      <c r="J13" s="147">
        <f>SUMPRODUCT((Модель!S5:S44="FBS")*Модель!AJ5:AJ44)</f>
        <v>142</v>
      </c>
      <c r="K13" s="148" t="s">
        <v>497</v>
      </c>
      <c r="L13" s="142"/>
      <c r="M13" s="146" t="s">
        <v>496</v>
      </c>
      <c r="N13" s="147">
        <f>SUMPRODUCT((Модель!S5:S44="FBS")*Модель!AJ5:AJ44)</f>
        <v>142</v>
      </c>
      <c r="O13" s="148" t="s">
        <v>497</v>
      </c>
    </row>
    <row r="14" spans="1:15" ht="26" x14ac:dyDescent="0.15">
      <c r="A14" s="146" t="s">
        <v>498</v>
      </c>
      <c r="B14" s="147">
        <f>SUMPRODUCT((Модель!S5:S44&lt;&gt;"Пауза")*Модель!BO5:BO44)</f>
        <v>17296</v>
      </c>
      <c r="C14" s="148" t="s">
        <v>499</v>
      </c>
      <c r="D14" s="142"/>
      <c r="E14" s="146" t="s">
        <v>498</v>
      </c>
      <c r="F14" s="147">
        <f>SUMPRODUCT((Модель!S5:S44&lt;&gt;"Пауза")*Модель!BP5:BP44)</f>
        <v>17296</v>
      </c>
      <c r="G14" s="148" t="s">
        <v>499</v>
      </c>
      <c r="H14" s="142"/>
      <c r="I14" s="146" t="s">
        <v>498</v>
      </c>
      <c r="J14" s="147">
        <f>SUM(Модель!BQ5:BQ44)</f>
        <v>17296</v>
      </c>
      <c r="K14" s="148" t="s">
        <v>499</v>
      </c>
      <c r="L14" s="142"/>
      <c r="M14" s="146" t="s">
        <v>498</v>
      </c>
      <c r="N14" s="147">
        <f>SUM(Модель!BQ5:BQ44)</f>
        <v>17296</v>
      </c>
      <c r="O14" s="148" t="s">
        <v>499</v>
      </c>
    </row>
    <row r="15" spans="1:15" ht="26" x14ac:dyDescent="0.15">
      <c r="A15" s="146" t="s">
        <v>16</v>
      </c>
      <c r="B15" s="147">
        <f>0</f>
        <v>0</v>
      </c>
      <c r="C15" s="148" t="s">
        <v>500</v>
      </c>
      <c r="D15" s="142"/>
      <c r="E15" s="146" t="s">
        <v>16</v>
      </c>
      <c r="F15" s="147">
        <f>Итоги!D16</f>
        <v>0.9</v>
      </c>
      <c r="G15" s="148" t="s">
        <v>500</v>
      </c>
      <c r="H15" s="142"/>
      <c r="I15" s="146" t="s">
        <v>16</v>
      </c>
      <c r="J15" s="147">
        <f>Итоги!E16</f>
        <v>0.9</v>
      </c>
      <c r="K15" s="148" t="s">
        <v>500</v>
      </c>
      <c r="L15" s="142"/>
      <c r="M15" s="146" t="s">
        <v>16</v>
      </c>
      <c r="N15" s="147">
        <f>0</f>
        <v>0</v>
      </c>
      <c r="O15" s="148" t="s">
        <v>500</v>
      </c>
    </row>
    <row r="16" spans="1:15" ht="26" x14ac:dyDescent="0.15">
      <c r="A16" s="149" t="s">
        <v>17</v>
      </c>
      <c r="B16" s="150">
        <f>0</f>
        <v>0</v>
      </c>
      <c r="C16" s="151" t="s">
        <v>501</v>
      </c>
      <c r="D16" s="142"/>
      <c r="E16" s="149" t="s">
        <v>17</v>
      </c>
      <c r="F16" s="150">
        <f>Итоги!D18</f>
        <v>0</v>
      </c>
      <c r="G16" s="151" t="s">
        <v>501</v>
      </c>
      <c r="H16" s="142"/>
      <c r="I16" s="149" t="s">
        <v>17</v>
      </c>
      <c r="J16" s="150">
        <f>Итоги!E18</f>
        <v>0</v>
      </c>
      <c r="K16" s="151" t="s">
        <v>501</v>
      </c>
      <c r="L16" s="142"/>
      <c r="M16" s="149" t="s">
        <v>17</v>
      </c>
      <c r="N16" s="150">
        <f>Итоги!F18</f>
        <v>0</v>
      </c>
      <c r="O16" s="151" t="s">
        <v>501</v>
      </c>
    </row>
    <row r="17" spans="1:15" x14ac:dyDescent="0.15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</row>
    <row r="18" spans="1:15" x14ac:dyDescent="0.15">
      <c r="A18" s="128" t="s">
        <v>502</v>
      </c>
      <c r="B18" s="129" t="s">
        <v>115</v>
      </c>
      <c r="C18" s="130" t="s">
        <v>46</v>
      </c>
      <c r="D18" s="142"/>
      <c r="E18" s="128" t="s">
        <v>502</v>
      </c>
      <c r="F18" s="129" t="s">
        <v>115</v>
      </c>
      <c r="G18" s="130" t="s">
        <v>46</v>
      </c>
      <c r="H18" s="142"/>
      <c r="I18" s="128" t="s">
        <v>502</v>
      </c>
      <c r="J18" s="129" t="s">
        <v>115</v>
      </c>
      <c r="K18" s="130" t="s">
        <v>46</v>
      </c>
      <c r="L18" s="142"/>
      <c r="M18" s="128" t="s">
        <v>502</v>
      </c>
      <c r="N18" s="129" t="s">
        <v>115</v>
      </c>
      <c r="O18" s="130" t="s">
        <v>46</v>
      </c>
    </row>
    <row r="19" spans="1:15" x14ac:dyDescent="0.15">
      <c r="A19" s="143" t="s">
        <v>503</v>
      </c>
      <c r="B19" s="152">
        <f>Итоги!C22</f>
        <v>14530290</v>
      </c>
      <c r="C19" s="145" t="s">
        <v>504</v>
      </c>
      <c r="D19" s="142"/>
      <c r="E19" s="143" t="s">
        <v>503</v>
      </c>
      <c r="F19" s="152">
        <f>Итоги!D22</f>
        <v>12876790</v>
      </c>
      <c r="G19" s="145" t="s">
        <v>504</v>
      </c>
      <c r="H19" s="142"/>
      <c r="I19" s="143" t="s">
        <v>503</v>
      </c>
      <c r="J19" s="152">
        <f>Итоги!E22</f>
        <v>13668020</v>
      </c>
      <c r="K19" s="145" t="s">
        <v>504</v>
      </c>
      <c r="L19" s="142"/>
      <c r="M19" s="143" t="s">
        <v>503</v>
      </c>
      <c r="N19" s="152">
        <f>Итоги!F22</f>
        <v>13668020</v>
      </c>
      <c r="O19" s="145" t="s">
        <v>504</v>
      </c>
    </row>
    <row r="20" spans="1:15" x14ac:dyDescent="0.15">
      <c r="A20" s="146" t="s">
        <v>505</v>
      </c>
      <c r="B20" s="153">
        <f>Итоги!C23</f>
        <v>6332650</v>
      </c>
      <c r="C20" s="148" t="s">
        <v>504</v>
      </c>
      <c r="D20" s="142"/>
      <c r="E20" s="146" t="s">
        <v>505</v>
      </c>
      <c r="F20" s="153">
        <f>Итоги!D23</f>
        <v>5594240</v>
      </c>
      <c r="G20" s="148" t="s">
        <v>504</v>
      </c>
      <c r="H20" s="142"/>
      <c r="I20" s="146" t="s">
        <v>505</v>
      </c>
      <c r="J20" s="153">
        <f>Итоги!E23</f>
        <v>5902340</v>
      </c>
      <c r="K20" s="148" t="s">
        <v>504</v>
      </c>
      <c r="L20" s="142"/>
      <c r="M20" s="146" t="s">
        <v>505</v>
      </c>
      <c r="N20" s="153">
        <f>Итоги!F23</f>
        <v>5902340</v>
      </c>
      <c r="O20" s="148" t="s">
        <v>504</v>
      </c>
    </row>
    <row r="21" spans="1:15" x14ac:dyDescent="0.15">
      <c r="A21" s="132" t="s">
        <v>506</v>
      </c>
      <c r="B21" s="133">
        <f>Итоги!C24</f>
        <v>8197640</v>
      </c>
      <c r="C21" s="134" t="s">
        <v>504</v>
      </c>
      <c r="D21" s="142"/>
      <c r="E21" s="132" t="s">
        <v>506</v>
      </c>
      <c r="F21" s="133">
        <f>Итоги!D24</f>
        <v>7282550</v>
      </c>
      <c r="G21" s="134" t="s">
        <v>504</v>
      </c>
      <c r="H21" s="142"/>
      <c r="I21" s="132" t="s">
        <v>506</v>
      </c>
      <c r="J21" s="133">
        <f>Итоги!E24</f>
        <v>7765680</v>
      </c>
      <c r="K21" s="134" t="s">
        <v>504</v>
      </c>
      <c r="L21" s="142"/>
      <c r="M21" s="132" t="s">
        <v>506</v>
      </c>
      <c r="N21" s="133">
        <f>Итоги!F24</f>
        <v>7765680</v>
      </c>
      <c r="O21" s="134" t="s">
        <v>504</v>
      </c>
    </row>
    <row r="22" spans="1:15" x14ac:dyDescent="0.15">
      <c r="A22" s="146" t="s">
        <v>507</v>
      </c>
      <c r="B22" s="153">
        <f>Итоги!C27</f>
        <v>2246020.2000000002</v>
      </c>
      <c r="C22" s="148" t="s">
        <v>504</v>
      </c>
      <c r="D22" s="142"/>
      <c r="E22" s="146" t="s">
        <v>507</v>
      </c>
      <c r="F22" s="153">
        <f>Итоги!D27</f>
        <v>1865683.9999999998</v>
      </c>
      <c r="G22" s="148" t="s">
        <v>504</v>
      </c>
      <c r="H22" s="142"/>
      <c r="I22" s="146" t="s">
        <v>507</v>
      </c>
      <c r="J22" s="153">
        <f>Итоги!E27</f>
        <v>2064528.4</v>
      </c>
      <c r="K22" s="148" t="s">
        <v>504</v>
      </c>
      <c r="L22" s="142"/>
      <c r="M22" s="146" t="s">
        <v>507</v>
      </c>
      <c r="N22" s="153">
        <f>Итоги!F27</f>
        <v>2064528.4</v>
      </c>
      <c r="O22" s="148" t="s">
        <v>504</v>
      </c>
    </row>
    <row r="23" spans="1:15" x14ac:dyDescent="0.15">
      <c r="A23" s="146" t="s">
        <v>508</v>
      </c>
      <c r="B23" s="153">
        <f>Итоги!C28</f>
        <v>217954.35</v>
      </c>
      <c r="C23" s="148" t="s">
        <v>504</v>
      </c>
      <c r="D23" s="142"/>
      <c r="E23" s="146" t="s">
        <v>508</v>
      </c>
      <c r="F23" s="153">
        <f>Итоги!D28</f>
        <v>193151.85</v>
      </c>
      <c r="G23" s="148" t="s">
        <v>504</v>
      </c>
      <c r="H23" s="142"/>
      <c r="I23" s="146" t="s">
        <v>508</v>
      </c>
      <c r="J23" s="153">
        <f>Итоги!E28</f>
        <v>205020.30000000002</v>
      </c>
      <c r="K23" s="148" t="s">
        <v>504</v>
      </c>
      <c r="L23" s="142"/>
      <c r="M23" s="146" t="s">
        <v>508</v>
      </c>
      <c r="N23" s="153">
        <f>Итоги!F28</f>
        <v>205020.30000000002</v>
      </c>
      <c r="O23" s="148" t="s">
        <v>504</v>
      </c>
    </row>
    <row r="24" spans="1:15" x14ac:dyDescent="0.15">
      <c r="A24" s="146" t="s">
        <v>509</v>
      </c>
      <c r="B24" s="153">
        <f>Итоги!C29</f>
        <v>151335.48250000004</v>
      </c>
      <c r="C24" s="148" t="s">
        <v>504</v>
      </c>
      <c r="D24" s="142"/>
      <c r="E24" s="146" t="s">
        <v>509</v>
      </c>
      <c r="F24" s="153">
        <f>Итоги!D29</f>
        <v>75000</v>
      </c>
      <c r="G24" s="148" t="s">
        <v>504</v>
      </c>
      <c r="H24" s="142"/>
      <c r="I24" s="146" t="s">
        <v>509</v>
      </c>
      <c r="J24" s="153">
        <f>Итоги!E29</f>
        <v>119332.49</v>
      </c>
      <c r="K24" s="148" t="s">
        <v>504</v>
      </c>
      <c r="L24" s="142"/>
      <c r="M24" s="146" t="s">
        <v>509</v>
      </c>
      <c r="N24" s="153">
        <f>Итоги!F29</f>
        <v>138580.01750000002</v>
      </c>
      <c r="O24" s="148" t="s">
        <v>504</v>
      </c>
    </row>
    <row r="25" spans="1:15" x14ac:dyDescent="0.15">
      <c r="A25" s="146" t="s">
        <v>510</v>
      </c>
      <c r="B25" s="153">
        <f>Итоги!C30</f>
        <v>2097850.0844999994</v>
      </c>
      <c r="C25" s="148" t="s">
        <v>504</v>
      </c>
      <c r="D25" s="142"/>
      <c r="E25" s="146" t="s">
        <v>510</v>
      </c>
      <c r="F25" s="153">
        <f>Итоги!D30</f>
        <v>674342.54550000001</v>
      </c>
      <c r="G25" s="148" t="s">
        <v>504</v>
      </c>
      <c r="H25" s="142"/>
      <c r="I25" s="146" t="s">
        <v>510</v>
      </c>
      <c r="J25" s="153">
        <f>Итоги!E30</f>
        <v>1044600.0615</v>
      </c>
      <c r="K25" s="148" t="s">
        <v>504</v>
      </c>
      <c r="L25" s="142"/>
      <c r="M25" s="146" t="s">
        <v>510</v>
      </c>
      <c r="N25" s="153">
        <f>Итоги!F30</f>
        <v>918219.83306249999</v>
      </c>
      <c r="O25" s="148" t="s">
        <v>504</v>
      </c>
    </row>
    <row r="26" spans="1:15" x14ac:dyDescent="0.15">
      <c r="A26" s="146" t="s">
        <v>511</v>
      </c>
      <c r="B26" s="153">
        <f>Итоги!C31</f>
        <v>0</v>
      </c>
      <c r="C26" s="148" t="s">
        <v>504</v>
      </c>
      <c r="D26" s="142"/>
      <c r="E26" s="146" t="s">
        <v>511</v>
      </c>
      <c r="F26" s="153">
        <f>Итоги!D31</f>
        <v>380880</v>
      </c>
      <c r="G26" s="148" t="s">
        <v>504</v>
      </c>
      <c r="H26" s="142"/>
      <c r="I26" s="146" t="s">
        <v>511</v>
      </c>
      <c r="J26" s="153">
        <f>Итоги!E31</f>
        <v>70500</v>
      </c>
      <c r="K26" s="148" t="s">
        <v>504</v>
      </c>
      <c r="L26" s="142"/>
      <c r="M26" s="146" t="s">
        <v>511</v>
      </c>
      <c r="N26" s="153">
        <f>Итоги!F31</f>
        <v>21150</v>
      </c>
      <c r="O26" s="148" t="s">
        <v>504</v>
      </c>
    </row>
    <row r="27" spans="1:15" x14ac:dyDescent="0.15">
      <c r="A27" s="146" t="s">
        <v>512</v>
      </c>
      <c r="B27" s="153">
        <f>Итоги!C32</f>
        <v>0</v>
      </c>
      <c r="C27" s="148" t="s">
        <v>504</v>
      </c>
      <c r="D27" s="142"/>
      <c r="E27" s="146" t="s">
        <v>512</v>
      </c>
      <c r="F27" s="153">
        <f>Итоги!D32</f>
        <v>63480</v>
      </c>
      <c r="G27" s="148" t="s">
        <v>504</v>
      </c>
      <c r="H27" s="142"/>
      <c r="I27" s="146" t="s">
        <v>512</v>
      </c>
      <c r="J27" s="153">
        <f>Итоги!E32</f>
        <v>11750</v>
      </c>
      <c r="K27" s="148" t="s">
        <v>504</v>
      </c>
      <c r="L27" s="142"/>
      <c r="M27" s="146" t="s">
        <v>512</v>
      </c>
      <c r="N27" s="153">
        <f>Итоги!F32</f>
        <v>28410</v>
      </c>
      <c r="O27" s="148" t="s">
        <v>504</v>
      </c>
    </row>
    <row r="28" spans="1:15" x14ac:dyDescent="0.15">
      <c r="A28" s="146" t="s">
        <v>513</v>
      </c>
      <c r="B28" s="153">
        <f>Итоги!C33</f>
        <v>0</v>
      </c>
      <c r="C28" s="148" t="s">
        <v>504</v>
      </c>
      <c r="D28" s="142"/>
      <c r="E28" s="146" t="s">
        <v>513</v>
      </c>
      <c r="F28" s="153">
        <f>Итоги!D33</f>
        <v>63480</v>
      </c>
      <c r="G28" s="148" t="s">
        <v>504</v>
      </c>
      <c r="H28" s="142"/>
      <c r="I28" s="146" t="s">
        <v>513</v>
      </c>
      <c r="J28" s="153">
        <f>Итоги!E33</f>
        <v>11750</v>
      </c>
      <c r="K28" s="148" t="s">
        <v>504</v>
      </c>
      <c r="L28" s="142"/>
      <c r="M28" s="146" t="s">
        <v>513</v>
      </c>
      <c r="N28" s="153">
        <f>Итоги!F33</f>
        <v>29375</v>
      </c>
      <c r="O28" s="148" t="s">
        <v>504</v>
      </c>
    </row>
    <row r="29" spans="1:15" x14ac:dyDescent="0.15">
      <c r="A29" s="146" t="s">
        <v>514</v>
      </c>
      <c r="B29" s="153">
        <f>Итоги!C34</f>
        <v>962020.3899999999</v>
      </c>
      <c r="C29" s="148" t="s">
        <v>504</v>
      </c>
      <c r="D29" s="142"/>
      <c r="E29" s="146" t="s">
        <v>514</v>
      </c>
      <c r="F29" s="153">
        <f>Итоги!D34</f>
        <v>856216.43000000017</v>
      </c>
      <c r="G29" s="148" t="s">
        <v>504</v>
      </c>
      <c r="H29" s="142"/>
      <c r="I29" s="146" t="s">
        <v>514</v>
      </c>
      <c r="J29" s="153">
        <f>Итоги!E34</f>
        <v>906738.53</v>
      </c>
      <c r="K29" s="148" t="s">
        <v>504</v>
      </c>
      <c r="L29" s="142"/>
      <c r="M29" s="146" t="s">
        <v>514</v>
      </c>
      <c r="N29" s="153">
        <f>Итоги!F34</f>
        <v>906738.53</v>
      </c>
      <c r="O29" s="148" t="s">
        <v>504</v>
      </c>
    </row>
    <row r="30" spans="1:15" x14ac:dyDescent="0.15">
      <c r="A30" s="146" t="s">
        <v>515</v>
      </c>
      <c r="B30" s="153">
        <f>Итоги!C35</f>
        <v>176925</v>
      </c>
      <c r="C30" s="148" t="s">
        <v>504</v>
      </c>
      <c r="D30" s="142"/>
      <c r="E30" s="146" t="s">
        <v>515</v>
      </c>
      <c r="F30" s="153">
        <f>Итоги!D35</f>
        <v>158700</v>
      </c>
      <c r="G30" s="148" t="s">
        <v>504</v>
      </c>
      <c r="H30" s="142"/>
      <c r="I30" s="146" t="s">
        <v>515</v>
      </c>
      <c r="J30" s="153">
        <f>Итоги!E35</f>
        <v>173375</v>
      </c>
      <c r="K30" s="148" t="s">
        <v>504</v>
      </c>
      <c r="L30" s="142"/>
      <c r="M30" s="146" t="s">
        <v>515</v>
      </c>
      <c r="N30" s="153">
        <f>Итоги!F35</f>
        <v>173375</v>
      </c>
      <c r="O30" s="148" t="s">
        <v>504</v>
      </c>
    </row>
    <row r="31" spans="1:15" x14ac:dyDescent="0.15">
      <c r="A31" s="146" t="s">
        <v>516</v>
      </c>
      <c r="B31" s="153">
        <f>Итоги!C36</f>
        <v>82202.78</v>
      </c>
      <c r="C31" s="148" t="s">
        <v>504</v>
      </c>
      <c r="D31" s="142"/>
      <c r="E31" s="146" t="s">
        <v>516</v>
      </c>
      <c r="F31" s="153">
        <f>Итоги!D36</f>
        <v>76085.739999999976</v>
      </c>
      <c r="G31" s="148" t="s">
        <v>504</v>
      </c>
      <c r="H31" s="142"/>
      <c r="I31" s="146" t="s">
        <v>516</v>
      </c>
      <c r="J31" s="153">
        <f>Итоги!E36</f>
        <v>80483.079999999987</v>
      </c>
      <c r="K31" s="148" t="s">
        <v>504</v>
      </c>
      <c r="L31" s="142"/>
      <c r="M31" s="146" t="s">
        <v>516</v>
      </c>
      <c r="N31" s="153">
        <f>Итоги!F36</f>
        <v>80483.079999999987</v>
      </c>
      <c r="O31" s="148" t="s">
        <v>504</v>
      </c>
    </row>
    <row r="32" spans="1:15" x14ac:dyDescent="0.15">
      <c r="A32" s="146" t="s">
        <v>517</v>
      </c>
      <c r="B32" s="153">
        <f>Итоги!C37</f>
        <v>0</v>
      </c>
      <c r="C32" s="148" t="s">
        <v>504</v>
      </c>
      <c r="D32" s="142"/>
      <c r="E32" s="146" t="s">
        <v>517</v>
      </c>
      <c r="F32" s="153">
        <f>Итоги!D37</f>
        <v>54700</v>
      </c>
      <c r="G32" s="148" t="s">
        <v>504</v>
      </c>
      <c r="H32" s="142"/>
      <c r="I32" s="146" t="s">
        <v>517</v>
      </c>
      <c r="J32" s="153">
        <f>Итоги!E37</f>
        <v>8700</v>
      </c>
      <c r="K32" s="148" t="s">
        <v>504</v>
      </c>
      <c r="L32" s="142"/>
      <c r="M32" s="146" t="s">
        <v>517</v>
      </c>
      <c r="N32" s="153">
        <f>Итоги!F37</f>
        <v>5046</v>
      </c>
      <c r="O32" s="148" t="s">
        <v>504</v>
      </c>
    </row>
    <row r="33" spans="1:15" x14ac:dyDescent="0.15">
      <c r="A33" s="146" t="s">
        <v>518</v>
      </c>
      <c r="B33" s="153">
        <f>Итоги!C38</f>
        <v>111684.00000000001</v>
      </c>
      <c r="C33" s="148" t="s">
        <v>504</v>
      </c>
      <c r="D33" s="142"/>
      <c r="E33" s="146" t="s">
        <v>518</v>
      </c>
      <c r="F33" s="153">
        <f>Итоги!D38</f>
        <v>212339.25</v>
      </c>
      <c r="G33" s="148" t="s">
        <v>504</v>
      </c>
      <c r="H33" s="142"/>
      <c r="I33" s="146" t="s">
        <v>518</v>
      </c>
      <c r="J33" s="153">
        <f>Итоги!E38</f>
        <v>130107</v>
      </c>
      <c r="K33" s="148" t="s">
        <v>504</v>
      </c>
      <c r="L33" s="142"/>
      <c r="M33" s="146" t="s">
        <v>518</v>
      </c>
      <c r="N33" s="153">
        <f>Итоги!F38</f>
        <v>130107</v>
      </c>
      <c r="O33" s="148" t="s">
        <v>504</v>
      </c>
    </row>
    <row r="34" spans="1:15" ht="26" x14ac:dyDescent="0.15">
      <c r="A34" s="135" t="s">
        <v>519</v>
      </c>
      <c r="B34" s="136">
        <f>Итоги!C39</f>
        <v>6045992.2869999995</v>
      </c>
      <c r="C34" s="137" t="s">
        <v>504</v>
      </c>
      <c r="D34" s="142"/>
      <c r="E34" s="135" t="s">
        <v>519</v>
      </c>
      <c r="F34" s="136">
        <f>Итоги!D39</f>
        <v>4674059.8155000005</v>
      </c>
      <c r="G34" s="137" t="s">
        <v>504</v>
      </c>
      <c r="H34" s="142"/>
      <c r="I34" s="135" t="s">
        <v>519</v>
      </c>
      <c r="J34" s="136">
        <f>Итоги!E39</f>
        <v>4826884.8614999996</v>
      </c>
      <c r="K34" s="137" t="s">
        <v>504</v>
      </c>
      <c r="L34" s="142"/>
      <c r="M34" s="135" t="s">
        <v>519</v>
      </c>
      <c r="N34" s="136">
        <f>Итоги!F39</f>
        <v>4701033.1605625004</v>
      </c>
      <c r="O34" s="137" t="s">
        <v>504</v>
      </c>
    </row>
    <row r="35" spans="1:15" x14ac:dyDescent="0.15">
      <c r="A35" s="138" t="s">
        <v>520</v>
      </c>
      <c r="B35" s="139">
        <f>Итоги!C42</f>
        <v>2151647.7130000005</v>
      </c>
      <c r="C35" s="140" t="s">
        <v>504</v>
      </c>
      <c r="D35" s="142"/>
      <c r="E35" s="138" t="s">
        <v>520</v>
      </c>
      <c r="F35" s="139">
        <f>Итоги!D42</f>
        <v>2608490.1844999995</v>
      </c>
      <c r="G35" s="140" t="s">
        <v>504</v>
      </c>
      <c r="H35" s="142"/>
      <c r="I35" s="138" t="s">
        <v>520</v>
      </c>
      <c r="J35" s="139">
        <f>Итоги!E42</f>
        <v>2938795.1385000004</v>
      </c>
      <c r="K35" s="140" t="s">
        <v>504</v>
      </c>
      <c r="L35" s="142"/>
      <c r="M35" s="138" t="s">
        <v>520</v>
      </c>
      <c r="N35" s="139">
        <f>Итоги!F42</f>
        <v>3064646.8394374996</v>
      </c>
      <c r="O35" s="140" t="s">
        <v>504</v>
      </c>
    </row>
    <row r="36" spans="1:15" x14ac:dyDescent="0.15">
      <c r="A36" s="138" t="s">
        <v>43</v>
      </c>
      <c r="B36" s="141">
        <f>Итоги!C43</f>
        <v>0.14808016309378549</v>
      </c>
      <c r="C36" s="140" t="s">
        <v>504</v>
      </c>
      <c r="D36" s="142"/>
      <c r="E36" s="138" t="s">
        <v>43</v>
      </c>
      <c r="F36" s="141">
        <f>Итоги!D43</f>
        <v>0.20257301582925555</v>
      </c>
      <c r="G36" s="140" t="s">
        <v>504</v>
      </c>
      <c r="H36" s="142"/>
      <c r="I36" s="138" t="s">
        <v>43</v>
      </c>
      <c r="J36" s="141">
        <f>Итоги!E43</f>
        <v>0.21501249914032905</v>
      </c>
      <c r="K36" s="140" t="s">
        <v>504</v>
      </c>
      <c r="L36" s="142"/>
      <c r="M36" s="138" t="s">
        <v>43</v>
      </c>
      <c r="N36" s="141">
        <f>Итоги!F43</f>
        <v>0.22422024839278107</v>
      </c>
      <c r="O36" s="140" t="s">
        <v>504</v>
      </c>
    </row>
    <row r="37" spans="1:15" x14ac:dyDescent="0.15">
      <c r="A37" s="149" t="s">
        <v>521</v>
      </c>
      <c r="B37" s="154">
        <f>Итоги!C44</f>
        <v>0</v>
      </c>
      <c r="C37" s="151" t="s">
        <v>504</v>
      </c>
      <c r="D37" s="142"/>
      <c r="E37" s="149" t="s">
        <v>521</v>
      </c>
      <c r="F37" s="154">
        <f>Итоги!D44</f>
        <v>456842.47149999905</v>
      </c>
      <c r="G37" s="151" t="s">
        <v>504</v>
      </c>
      <c r="H37" s="142"/>
      <c r="I37" s="149" t="s">
        <v>521</v>
      </c>
      <c r="J37" s="154">
        <f>Итоги!E44</f>
        <v>787147.4254999999</v>
      </c>
      <c r="K37" s="151" t="s">
        <v>504</v>
      </c>
      <c r="L37" s="142"/>
      <c r="M37" s="149" t="s">
        <v>521</v>
      </c>
      <c r="N37" s="154">
        <f>Итоги!F44</f>
        <v>912999.12643749919</v>
      </c>
      <c r="O37" s="151" t="s">
        <v>504</v>
      </c>
    </row>
    <row r="38" spans="1:15" x14ac:dyDescent="0.15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</row>
    <row r="39" spans="1:15" x14ac:dyDescent="0.15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</row>
    <row r="40" spans="1:15" x14ac:dyDescent="0.15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</row>
  </sheetData>
  <mergeCells count="6">
    <mergeCell ref="A1:O1"/>
    <mergeCell ref="A2:O2"/>
    <mergeCell ref="A4:C4"/>
    <mergeCell ref="E4:G4"/>
    <mergeCell ref="I4:K4"/>
    <mergeCell ref="M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Итоги</vt:lpstr>
      <vt:lpstr>Модель</vt:lpstr>
      <vt:lpstr>Fulllog 3PL</vt:lpstr>
      <vt:lpstr>Инструкция</vt:lpstr>
      <vt:lpstr>SKU</vt:lpstr>
      <vt:lpstr>Тарифы</vt:lpstr>
      <vt:lpstr>Затраты продавца</vt:lpstr>
      <vt:lpstr>Допущения</vt:lpstr>
      <vt:lpstr>Сценарный 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2026-09-13T17:15:19Z</ns1:created>
  <ns1:modified xsi:type="dcterms:W3CDTF">2026-09-13T17:21:43Z</ns1:modified>
</ns0:coreProperties>
</file>